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f1cc92618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efd0eb51db4062"/>
    <x:sheet xmlns:r="http://schemas.openxmlformats.org/officeDocument/2006/relationships" name="Feature Stories" sheetId="2" r:id="R04b60e1e31114001"/>
    <x:sheet xmlns:r="http://schemas.openxmlformats.org/officeDocument/2006/relationships" name="Error Log" sheetId="3" r:id="R712637c7e28a4c66"/>
    <x:sheet xmlns:r="http://schemas.openxmlformats.org/officeDocument/2006/relationships" name="Test Runs" sheetId="4" r:id="R92cf807bad5c41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1F2937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6B7280"/>
      <x:name val="Carlito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borderId="0" xfId="0" applyNumberFormat="1" applyFont="1" applyFill="0" applyBorder="1"/>
    <x:xf numFmtId="0" fontId="3" borderId="2" xfId="0" applyNumberFormat="1" applyFont="1" applyFill="0" applyBorder="1"/>
    <x:xf numFmtId="0" fontId="3" borderId="2" xfId="0" applyNumberFormat="1" applyFont="1" applyFill="0" applyBorder="1" applyAlignment="1">
      <x:alignment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9cfc010bb472c" /><Relationship Type="http://schemas.openxmlformats.org/officeDocument/2006/relationships/theme" Target="/xl/theme/theme1.xml" Id="R42969c8dad10416d" /><Relationship Type="http://schemas.openxmlformats.org/officeDocument/2006/relationships/sharedStrings" Target="/xl/sharedStrings.xml" Id="R8f256d4779fb4b6e" /><Relationship Type="http://schemas.openxmlformats.org/officeDocument/2006/relationships/worksheet" Target="/xl/worksheets/sheet1.xml" Id="Rfcefd0eb51db4062" /><Relationship Type="http://schemas.openxmlformats.org/officeDocument/2006/relationships/worksheet" Target="/xl/worksheets/sheet2.xml" Id="R04b60e1e31114001" /><Relationship Type="http://schemas.openxmlformats.org/officeDocument/2006/relationships/worksheet" Target="/xl/worksheets/sheet3.xml" Id="R712637c7e28a4c66" /><Relationship Type="http://schemas.openxmlformats.org/officeDocument/2006/relationships/worksheet" Target="/xl/worksheets/sheet4.xml" Id="R92cf807bad5c41a2" /></Relationships>
</file>

<file path=xl/tables/table1.xml><?xml version="1.0" encoding="utf-8"?>
<x:table xmlns:x="http://schemas.openxmlformats.org/spreadsheetml/2006/main" id="1" name="FeatureStories" displayName="FeatureStories" ref="A1:L40" headerRowCount="1">
  <x:tableColumns count="12">
    <x:tableColumn id="1" name="ID"/>
    <x:tableColumn id="2" name="Area"/>
    <x:tableColumn id="3" name="Feature"/>
    <x:tableColumn id="4" name="User Story"/>
    <x:tableColumn id="5" name="Expected Behavior"/>
    <x:tableColumn id="6" name="Code Evidence"/>
    <x:tableColumn id="7" name="Priority"/>
    <x:tableColumn id="8" name="Feature Status"/>
    <x:tableColumn id="9" name="Behavior Test Status"/>
    <x:tableColumn id="10" name="Error Notes"/>
    <x:tableColumn id="11" name="Fix Status"/>
    <x:tableColumn id="12" name="Retest Status"/>
  </x:tableColumns>
  <x:tableStyleInfo name="TableStyleMedium2" showRowStripes="1"/>
</x:table>
</file>

<file path=xl/tables/table2.xml><?xml version="1.0" encoding="utf-8"?>
<x:table xmlns:x="http://schemas.openxmlformats.org/spreadsheetml/2006/main" id="2" name="ErrorLog" displayName="ErrorLog" ref="A1:G20" headerRowCount="1">
  <x:tableColumns count="7">
    <x:tableColumn id="1" name="Issue ID"/>
    <x:tableColumn id="2" name="Feature ID"/>
    <x:tableColumn id="3" name="Issue Type"/>
    <x:tableColumn id="4" name="Observed From Code"/>
    <x:tableColumn id="5" name="Evidence"/>
    <x:tableColumn id="6" name="Verification Status"/>
    <x:tableColumn id="7" name="Fix Status"/>
  </x:tableColumns>
  <x:tableStyleInfo name="TableStyleMedium2" showRowStripes="1"/>
</x:table>
</file>

<file path=xl/tables/table3.xml><?xml version="1.0" encoding="utf-8"?>
<x:table xmlns:x="http://schemas.openxmlformats.org/spreadsheetml/2006/main" id="3" name="TestRuns" displayName="TestRuns" ref="A1:H29" headerRowCount="1">
  <x:tableColumns count="8">
    <x:tableColumn id="1" name="Run ID"/>
    <x:tableColumn id="2" name="Date"/>
    <x:tableColumn id="3" name="Scope"/>
    <x:tableColumn id="4" name="Command or Browser Flow"/>
    <x:tableColumn id="5" name="Result"/>
    <x:tableColumn id="6" name="Errors Found"/>
    <x:tableColumn id="7" name="Artifacts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9e38d56dd64c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bdca86e37645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bedbf4c3c04a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54" hidden="0" customWidth="1"/>
  </x:cols>
  <x:sheetData>
    <x:row r="1">
      <x:c r="A1" s="1" t="str">
        <x:v>Antelligence Feature Status Tracker</x:v>
      </x:c>
    </x:row>
    <x:row r="3">
      <x:c r="A3" s="5" t="str">
        <x:v>Canonical workbook</x:v>
      </x:c>
      <x:c r="B3" s="6" t="str">
        <x:v>/Users/operator/antelligence-app/docs/antelligence-feature-status.xlsx</x:v>
      </x:c>
    </x:row>
    <x:row r="4">
      <x:c r="A4" s="5" t="str">
        <x:v>Last updated</x:v>
      </x:c>
      <x:c r="B4" s="6" t="str">
        <x:v>2026-06-22</x:v>
      </x:c>
    </x:row>
    <x:row r="5">
      <x:c r="A5" s="5" t="str">
        <x:v>Feature rows</x:v>
      </x:c>
      <x:c r="B5" s="6" t="n">
        <x:v>39</x:v>
      </x:c>
    </x:row>
    <x:row r="6">
      <x:c r="A6" s="5" t="str">
        <x:v>Tracked issues</x:v>
      </x:c>
      <x:c r="B6" s="6" t="n">
        <x:v>19</x:v>
      </x:c>
    </x:row>
    <x:row r="7">
      <x:c r="A7" s="5" t="str">
        <x:v>Current phase</x:v>
      </x:c>
      <x:c r="B7" s="6" t="str">
        <x:v>All 39 user stories inventoried, tested, and fixed/retested where defects were found; no pending behavior, fix, or retest rows remain.</x:v>
      </x:c>
    </x:row>
    <x:row r="8">
      <x:c r="A8" s="5" t="str">
        <x:v>Source basis</x:v>
      </x:c>
      <x:c r="B8" s="6" t="str">
        <x:v>Current worktree code inspection plus browser/API verification</x:v>
      </x:c>
    </x:row>
    <x:row r="9">
      <x:c r="A9" s="5" t="str">
        <x:v>Next loop</x:v>
      </x:c>
      <x:c r="B9" s="6" t="str">
        <x:v>Use this workbook as the canonical regression tracker; add new Error Log and Test Runs rows for any future defects.</x:v>
      </x:c>
    </x:row>
    <x:row r="10">
      <x:c r="A10" s="5" t="str">
        <x:v>Do not fork</x:v>
      </x:c>
      <x:c r="B10" s="6" t="str">
        <x:v>Update this workbook instead of creating alternate trackers</x:v>
      </x:c>
    </x:row>
    <x:row r="12">
      <x:c r="A12" s="10" t="str">
        <x:v>Status</x:v>
      </x:c>
      <x:c r="B12" s="10" t="str">
        <x:v>Count</x:v>
      </x:c>
      <x:c r="C12" s="10" t="str">
        <x:v>Formula</x:v>
      </x:c>
      <x:c r="D12" s="10" t="str">
        <x:v>Notes</x:v>
      </x:c>
      <x:c r="E12" s="10" t="str"/>
      <x:c r="F12" s="10" t="str"/>
    </x:row>
    <x:row r="13">
      <x:c r="A13" s="11" t="str">
        <x:v>Inventoried</x:v>
      </x:c>
      <x:c r="B13" s="11" t="n">
        <x:f>C13</x:f>
        <x:v>17</x:v>
      </x:c>
      <x:c r="C13" s="12" t="n">
        <x:f>COUNTIF('Feature Stories'!H2:H200,"Inventoried")</x:f>
        <x:v>17</x:v>
      </x:c>
      <x:c r="D13" s="11" t="str">
        <x:v>Rows mapped from code</x:v>
      </x:c>
    </x:row>
    <x:row r="14">
      <x:c r="A14" s="11" t="str">
        <x:v>Code Issue Candidate</x:v>
      </x:c>
      <x:c r="B14" s="11" t="n">
        <x:f>C14</x:f>
        <x:v>0</x:v>
      </x:c>
      <x:c r="C14" s="12" t="n">
        <x:f>COUNTIF('Feature Stories'!H2:H200,"Code Issue Candidate")</x:f>
        <x:v>0</x:v>
      </x:c>
      <x:c r="D14" s="11" t="str">
        <x:v>Needs browser/build verification</x:v>
      </x:c>
    </x:row>
    <x:row r="15">
      <x:c r="A15" s="11" t="str">
        <x:v>Behavior Tests Pending</x:v>
      </x:c>
      <x:c r="B15" s="11" t="n">
        <x:f>C15</x:f>
        <x:v>0</x:v>
      </x:c>
      <x:c r="C15" s="12" t="n">
        <x:f>COUNTIF('Feature Stories'!I2:I200,"Pending")</x:f>
        <x:v>0</x:v>
      </x:c>
      <x:c r="D15" s="11" t="str">
        <x:v>Next active phase</x:v>
      </x:c>
    </x:row>
    <x:row r="16">
      <x:c r="A16" s="11" t="str">
        <x:v>Fixes Pending</x:v>
      </x:c>
      <x:c r="B16" s="11" t="n">
        <x:f>C16</x:f>
        <x:v>0</x:v>
      </x:c>
      <x:c r="C16" s="12" t="n">
        <x:f>COUNTIF('Feature Stories'!K2:K200,"Pending")</x:f>
        <x:v>0</x:v>
      </x:c>
      <x:c r="D16" s="11" t="str">
        <x:v>Only fix after verified error</x:v>
      </x:c>
    </x:row>
    <x:row r="17">
      <x:c r="A17" s="11" t="str">
        <x:v>Retests Pending</x:v>
      </x:c>
      <x:c r="B17" s="11" t="n">
        <x:f>C17</x:f>
        <x:v>0</x:v>
      </x:c>
      <x:c r="C17" s="12" t="n">
        <x:f>COUNTIF('Feature Stories'!L2:L200,"Pending")</x:f>
        <x:v>0</x:v>
      </x:c>
      <x:c r="D17" s="11" t="str">
        <x:v>Required after fixes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54" hidden="0" customWidth="1"/>
    <x:col min="5" max="5" width="58" hidden="0" customWidth="1"/>
    <x:col min="6" max="6" width="44" hidden="0" customWidth="1"/>
    <x:col min="7" max="7" width="12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10" t="str">
        <x:v>ID</x:v>
      </x:c>
      <x:c r="B1" s="10" t="str">
        <x:v>Area</x:v>
      </x:c>
      <x:c r="C1" s="10" t="str">
        <x:v>Feature</x:v>
      </x:c>
      <x:c r="D1" s="10" t="str">
        <x:v>User Story</x:v>
      </x:c>
      <x:c r="E1" s="10" t="str">
        <x:v>Expected Behavior</x:v>
      </x:c>
      <x:c r="F1" s="10" t="str">
        <x:v>Code Evidence</x:v>
      </x:c>
      <x:c r="G1" s="10" t="str">
        <x:v>Priority</x:v>
      </x:c>
      <x:c r="H1" s="10" t="str">
        <x:v>Feature Status</x:v>
      </x:c>
      <x:c r="I1" s="10" t="str">
        <x:v>Behavior Test Status</x:v>
      </x:c>
      <x:c r="J1" s="10" t="str">
        <x:v>Error Notes</x:v>
      </x:c>
      <x:c r="K1" s="10" t="str">
        <x:v>Fix Status</x:v>
      </x:c>
      <x:c r="L1" s="10" t="str">
        <x:v>Retest Status</x:v>
      </x:c>
    </x:row>
    <x:row r="2">
      <x:c r="A2" s="4" t="str">
        <x:v>APP-001</x:v>
      </x:c>
      <x:c r="B2" s="4" t="str">
        <x:v>Navigation</x:v>
      </x:c>
      <x:c r="C2" s="4" t="str">
        <x:v>Intro landing and experience routing</x:v>
      </x:c>
      <x:c r="D2" s="4" t="str">
        <x:v>As a visitor, I want to choose an Ant Colony, Tumor Nanobot, or Tumor Hunt experience from the first screen so I can enter the right simulator.</x:v>
      </x:c>
      <x:c r="E2" s="4" t="str">
        <x:v>The intro page shows three primary buttons, Enter key starts Ant Colony, and tumor buttons route to /tumor and /tumor-hunt.</x:v>
      </x:c>
      <x:c r="F2" s="4" t="str">
        <x:v>frontend/src/components/IntroPage.tsx; frontend/src/App.tsx</x:v>
      </x:c>
      <x:c r="G2" s="4" t="str">
        <x:v>High</x:v>
      </x:c>
      <x:c r="H2" s="4" t="str">
        <x:v>Inventoried</x:v>
      </x:c>
      <x:c r="I2" s="4" t="str">
        <x:v>Tested - Pass</x:v>
      </x:c>
      <x:c r="J2" s="4" t="str">
        <x:v>Browser retest: intro buttons render; Enter enters Ant Colony; Tumor and Tumor Hunt buttons route cleanly.</x:v>
      </x:c>
      <x:c r="K2" s="4" t="str">
        <x:v>Not Applicable</x:v>
      </x:c>
      <x:c r="L2" s="4" t="str">
        <x:v>Not Applicable</x:v>
      </x:c>
    </x:row>
    <x:row r="3">
      <x:c r="A3" s="4" t="str">
        <x:v>APP-002</x:v>
      </x:c>
      <x:c r="B3" s="4" t="str">
        <x:v>Navigation</x:v>
      </x:c>
      <x:c r="C3" s="4" t="str">
        <x:v>Route handling and 404</x:v>
      </x:c>
      <x:c r="D3" s="4" t="str">
        <x:v>As a user, I want valid routes to load the right page and bad routes to show a useful fallback so I do not get a blank app.</x:v>
      </x:c>
      <x:c r="E3" s="4" t="str">
        <x:v>Routes /, /comparison, /tumor, /tumor-hunt render their pages; all other routes render NotFound with a home link.</x:v>
      </x:c>
      <x:c r="F3" s="4" t="str">
        <x:v>frontend/src/App.tsx; frontend/src/pages/NotFound.tsx</x:v>
      </x:c>
      <x:c r="G3" s="4" t="str">
        <x:v>Medium</x:v>
      </x:c>
      <x:c r="H3" s="4" t="str">
        <x:v>Fixed</x:v>
      </x:c>
      <x:c r="I3" s="4" t="str">
        <x:v>Tested - Fail</x:v>
      </x:c>
      <x:c r="J3" s="4" t="str">
        <x:v>404 fallback rendered but logged a console error for normal missing-route navigation.</x:v>
      </x:c>
      <x:c r="K3" s="4" t="str">
        <x:v>Fixed</x:v>
      </x:c>
      <x:c r="L3" s="4" t="str">
        <x:v>Retested - Pass</x:v>
      </x:c>
    </x:row>
    <x:row r="4">
      <x:c r="A4" s="4" t="str">
        <x:v>APP-003</x:v>
      </x:c>
      <x:c r="B4" s="4" t="str">
        <x:v>Runtime</x:v>
      </x:c>
      <x:c r="C4" s="4" t="str">
        <x:v>Preview mode guardrails</x:v>
      </x:c>
      <x:c r="D4" s="4" t="str">
        <x:v>As a public-preview user, I want backend-only actions disabled with clear messaging so I do not expect unavailable local execution.</x:v>
      </x:c>
      <x:c r="E4" s="4" t="str">
        <x:v>Preview banner appears when preview mode is enabled and run buttons show informational toasts instead of calling local backends.</x:v>
      </x:c>
      <x:c r="F4" s="4" t="str">
        <x:v>frontend/src/components/PreviewModeBanner.tsx; frontend/src/lib/runtime.ts; frontend/src/pages/*.tsx</x:v>
      </x:c>
      <x:c r="G4" s="4" t="str">
        <x:v>High</x:v>
      </x:c>
      <x:c r="H4" s="4" t="str">
        <x:v>Inventoried</x:v>
      </x:c>
      <x:c r="I4" s="4" t="str">
        <x:v>Tested - Pass</x:v>
      </x:c>
      <x:c r="J4" s="4" t="str">
        <x:v>Preview-mode browser retest: banner/checkpoints rendered on Ant, Comparison, Tumor, and Hunt pages; all run buttons stayed idle and made no backend requests.</x:v>
      </x:c>
      <x:c r="K4" s="4" t="str">
        <x:v>Not Applicable</x:v>
      </x:c>
      <x:c r="L4" s="4" t="str">
        <x:v>Not Applicable</x:v>
      </x:c>
    </x:row>
    <x:row r="5">
      <x:c r="A5" s="4" t="str">
        <x:v>ANT-001</x:v>
      </x:c>
      <x:c r="B5" s="4" t="str">
        <x:v>Ant Colony</x:v>
      </x:c>
      <x:c r="C5" s="4" t="str">
        <x:v>Habitat configuration</x:v>
      </x:c>
      <x:c r="D5" s="4" t="str">
        <x:v>As a simulation user, I want to tune grid width, grid height, food resources, and colony size so I can test different foraging environments.</x:v>
      </x:c>
      <x:c r="E5" s="4" t="str">
        <x:v>Sidebar sliders update config within visible bounds before a run.</x:v>
      </x:c>
      <x:c r="F5" s="4" t="str">
        <x:v>frontend/src/components/SimulationSidebar.tsx</x:v>
      </x:c>
      <x:c r="G5" s="4" t="str">
        <x:v>High</x:v>
      </x:c>
      <x:c r="H5" s="4" t="str">
        <x:v>Fixed</x:v>
      </x:c>
      <x:c r="I5" s="4" t="str">
        <x:v>Tested - Fail</x:v>
      </x:c>
      <x:c r="J5" s="4" t="str">
        <x:v>Focused width slider changed value, but ArrowRight also advanced playback because global shortcuts did not ignore slider focus.</x:v>
      </x:c>
      <x:c r="K5" s="4" t="str">
        <x:v>Fixed</x:v>
      </x:c>
      <x:c r="L5" s="4" t="str">
        <x:v>Retested - Pass</x:v>
      </x:c>
    </x:row>
    <x:row r="6">
      <x:c r="A6" s="4" t="str">
        <x:v>ANT-002</x:v>
      </x:c>
      <x:c r="B6" s="4" t="str">
        <x:v>Ant Colony</x:v>
      </x:c>
      <x:c r="C6" s="4" t="str">
        <x:v>Agent/model/prompt configuration</x:v>
      </x:c>
      <x:c r="D6" s="4" t="str">
        <x:v>As a simulation user, I want to choose agent type, model, and prompt style so I can compare rule-based and LLM-driven behavior.</x:v>
      </x:c>
      <x:c r="E6" s="4" t="str">
        <x:v>Agent type and model selects update config; prompt style supports Adaptive, Structured, and Autonomous.</x:v>
      </x:c>
      <x:c r="F6" s="4" t="str">
        <x:v>frontend/src/components/SimulationSidebar.tsx</x:v>
      </x:c>
      <x:c r="G6" s="4" t="str">
        <x:v>High</x:v>
      </x:c>
      <x:c r="H6" s="4" t="str">
        <x:v>Inventoried</x:v>
      </x:c>
      <x:c r="I6" s="4" t="str">
        <x:v>Tested - Pass</x:v>
      </x:c>
      <x:c r="J6" s="4" t="str">
        <x:v>Browser retest: agent type changed to Rule-Based and run payload sent selected model/prompt values.</x:v>
      </x:c>
      <x:c r="K6" s="4" t="str">
        <x:v>Not Applicable</x:v>
      </x:c>
      <x:c r="L6" s="4" t="str">
        <x:v>Not Applicable</x:v>
      </x:c>
    </x:row>
    <x:row r="7">
      <x:c r="A7" s="4" t="str">
        <x:v>ANT-003</x:v>
      </x:c>
      <x:c r="B7" s="4" t="str">
        <x:v>Ant Colony</x:v>
      </x:c>
      <x:c r="C7" s="4" t="str">
        <x:v>Queen coordination settings</x:v>
      </x:c>
      <x:c r="D7" s="4" t="str">
        <x:v>As a simulation user, I want to enable a queen and optionally use an LLM queen so I can test coordination overhead and benefit.</x:v>
      </x:c>
      <x:c r="E7" s="4" t="str">
        <x:v>Enable Queen switch controls visibility of LLM Queen switch and sends both values in run config.</x:v>
      </x:c>
      <x:c r="F7" s="4" t="str">
        <x:v>frontend/src/components/SimulationSidebar.tsx; frontend/src/pages/Index.tsx</x:v>
      </x:c>
      <x:c r="G7" s="4" t="str">
        <x:v>High</x:v>
      </x:c>
      <x:c r="H7" s="4" t="str">
        <x:v>Inventoried</x:v>
      </x:c>
      <x:c r="I7" s="4" t="str">
        <x:v>Tested - Pass</x:v>
      </x:c>
      <x:c r="J7" s="4" t="str">
        <x:v>Browser retest: Queen enabled, LLM Queen disabled, request sent use_queen=true/use_llm_queen=false, and Queen report rendered.</x:v>
      </x:c>
      <x:c r="K7" s="4" t="str">
        <x:v>Not Applicable</x:v>
      </x:c>
      <x:c r="L7" s="4" t="str">
        <x:v>Not Applicable</x:v>
      </x:c>
    </x:row>
    <x:row r="8">
      <x:c r="A8" s="4" t="str">
        <x:v>ANT-004</x:v>
      </x:c>
      <x:c r="B8" s="4" t="str">
        <x:v>Ant Colony</x:v>
      </x:c>
      <x:c r="C8" s="4" t="str">
        <x:v>Predator settings</x:v>
      </x:c>
      <x:c r="D8" s="4" t="str">
        <x:v>As a simulation user, I want to enable predators and tune predator count/type/fear pheromone so I can test survival pressure.</x:v>
      </x:c>
      <x:c r="E8" s="4" t="str">
        <x:v>Predator fields appear only when enabled; run config sends n_predators as zero when disabled.</x:v>
      </x:c>
      <x:c r="F8" s="4" t="str">
        <x:v>frontend/src/components/SimulationSidebar.tsx; frontend/src/pages/Index.tsx</x:v>
      </x:c>
      <x:c r="G8" s="4" t="str">
        <x:v>Medium</x:v>
      </x:c>
      <x:c r="H8" s="4" t="str">
        <x:v>Fixed</x:v>
      </x:c>
      <x:c r="I8" s="4" t="str">
        <x:v>Tested - Fail</x:v>
      </x:c>
      <x:c r="J8" s="4" t="str">
        <x:v>Predator fields appeared and request sent Rule-Based predators, but helper copy still said Smart LLM decision making.</x:v>
      </x:c>
      <x:c r="K8" s="4" t="str">
        <x:v>Fixed</x:v>
      </x:c>
      <x:c r="L8" s="4" t="str">
        <x:v>Retested - Pass</x:v>
      </x:c>
    </x:row>
    <x:row r="9">
      <x:c r="A9" s="4" t="str">
        <x:v>ANT-005</x:v>
      </x:c>
      <x:c r="B9" s="4" t="str">
        <x:v>Ant Colony</x:v>
      </x:c>
      <x:c r="C9" s="4" t="str">
        <x:v>Pheromone and step configuration</x:v>
      </x:c>
      <x:c r="D9" s="4" t="str">
        <x:v>As a simulation user, I want to tune pheromone decay/deposits/max value and max steps so I can observe trail behavior and run length effects.</x:v>
      </x:c>
      <x:c r="E9" s="4" t="str">
        <x:v>Pheromone fields are sent to backend; max steps slider controls loading total and simulation length.</x:v>
      </x:c>
      <x:c r="F9" s="4" t="str">
        <x:v>frontend/src/components/SimulationSidebar.tsx; backend/main.py</x:v>
      </x:c>
      <x:c r="G9" s="4" t="str">
        <x:v>High</x:v>
      </x:c>
      <x:c r="H9" s="4" t="str">
        <x:v>Inventoried</x:v>
      </x:c>
      <x:c r="I9" s="4" t="str">
        <x:v>Tested - Pass</x:v>
      </x:c>
      <x:c r="J9" s="4" t="str">
        <x:v>Browser/network retest: /simulation/run payload included max_steps=50 and pheromone decay/deposit/max values; response produced pheromone chart data.</x:v>
      </x:c>
      <x:c r="K9" s="4" t="str">
        <x:v>Not Applicable</x:v>
      </x:c>
      <x:c r="L9" s="4" t="str">
        <x:v>Not Applicable</x:v>
      </x:c>
    </x:row>
    <x:row r="10">
      <x:c r="A10" s="4" t="str">
        <x:v>ANT-006</x:v>
      </x:c>
      <x:c r="B10" s="4" t="str">
        <x:v>Ant Colony</x:v>
      </x:c>
      <x:c r="C10" s="4" t="str">
        <x:v>Run ant simulation</x:v>
      </x:c>
      <x:c r="D10" s="4" t="str">
        <x:v>As a simulation user, I want to run the configured ant simulation and see a loading state, result grid, and metrics.</x:v>
      </x:c>
      <x:c r="E10" s="4" t="str">
        <x:v>Run buttons POST /simulation/run unless preview mode is active; success stores results and shows playback; failure shows a toast error.</x:v>
      </x:c>
      <x:c r="F10" s="4" t="str">
        <x:v>frontend/src/pages/Index.tsx; backend/main.py</x:v>
      </x:c>
      <x:c r="G10" s="4" t="str">
        <x:v>Critical</x:v>
      </x:c>
      <x:c r="H10" s="4" t="str">
        <x:v>Fixed</x:v>
      </x:c>
      <x:c r="I10" s="4" t="str">
        <x:v>Tested - Fail</x:v>
      </x:c>
      <x:c r="J10" s="4" t="str">
        <x:v>Verified UI run was blocked/noisy by CORS, blockchain latency, missing-key warning, and food count mismatch; fixed and retested Rule-Based happy path.</x:v>
      </x:c>
      <x:c r="K10" s="4" t="str">
        <x:v>Fixed</x:v>
      </x:c>
      <x:c r="L10" s="4" t="str">
        <x:v>Retested - Pass</x:v>
      </x:c>
    </x:row>
    <x:row r="11">
      <x:c r="A11" s="4" t="str">
        <x:v>ANT-007</x:v>
      </x:c>
      <x:c r="B11" s="4" t="str">
        <x:v>Ant Colony</x:v>
      </x:c>
      <x:c r="C11" s="4" t="str">
        <x:v>Playback controls and keyboard shortcuts</x:v>
      </x:c>
      <x:c r="D11" s="4" t="str">
        <x:v>As a simulation user, I want play, pause, step, replay, start/end, loop, speed, and keyboard shortcuts so I can inspect simulation behavior over time.</x:v>
      </x:c>
      <x:c r="E11" s="4" t="str">
        <x:v>Controls are disabled until results exist; Space, arrows, Home, End, and R operate after a simulation is loaded; timeline slider changes the displayed step.</x:v>
      </x:c>
      <x:c r="F11" s="4" t="str">
        <x:v>frontend/src/components/SimulationControls.tsx; frontend/src/pages/Index.tsx</x:v>
      </x:c>
      <x:c r="G11" s="4" t="str">
        <x:v>High</x:v>
      </x:c>
      <x:c r="H11" s="4" t="str">
        <x:v>Fixed</x:v>
      </x:c>
      <x:c r="I11" s="4" t="str">
        <x:v>Tested - Fail</x:v>
      </x:c>
      <x:c r="J11" s="4" t="str">
        <x:v>Timeline displayed inconsistent 0-based and 1-based step labels and had no real scrub control; slider now updates currentStep and labels align.</x:v>
      </x:c>
      <x:c r="K11" s="4" t="str">
        <x:v>Fixed</x:v>
      </x:c>
      <x:c r="L11" s="4" t="str">
        <x:v>Retested - Pass</x:v>
      </x:c>
    </x:row>
    <x:row r="12">
      <x:c r="A12" s="4" t="str">
        <x:v>ANT-008</x:v>
      </x:c>
      <x:c r="B12" s="4" t="str">
        <x:v>Ant Colony</x:v>
      </x:c>
      <x:c r="C12" s="4" t="str">
        <x:v>Grid overlays and legend</x:v>
      </x:c>
      <x:c r="D12" s="4" t="str">
        <x:v>As a simulation user, I want to toggle efficiency and pheromone overlays and read a legend so visual states are understandable.</x:v>
      </x:c>
      <x:c r="E12" s="4" t="str">
        <x:v>Overlay buttons appear after simulation results; grid receives latest detailed pheromone/efficiency data; legend explains entities and maps.</x:v>
      </x:c>
      <x:c r="F12" s="4" t="str">
        <x:v>frontend/src/pages/Index.tsx; frontend/src/components/SimulationGrid.tsx</x:v>
      </x:c>
      <x:c r="G12" s="4" t="str">
        <x:v>Medium</x:v>
      </x:c>
      <x:c r="H12" s="4" t="str">
        <x:v>Fixed</x:v>
      </x:c>
      <x:c r="I12" s="4" t="str">
        <x:v>Tested - Fail</x:v>
      </x:c>
      <x:c r="J12" s="4" t="str">
        <x:v>Overlay buttons and legend rendered, but the pheromone toggle always read Show Pheromone Maps even when maps were visible.</x:v>
      </x:c>
      <x:c r="K12" s="4" t="str">
        <x:v>Fixed</x:v>
      </x:c>
      <x:c r="L12" s="4" t="str">
        <x:v>Retested - Pass</x:v>
      </x:c>
    </x:row>
    <x:row r="13">
      <x:c r="A13" s="4" t="str">
        <x:v>ANT-009</x:v>
      </x:c>
      <x:c r="B13" s="4" t="str">
        <x:v>Ant Colony</x:v>
      </x:c>
      <x:c r="C13" s="4" t="str">
        <x:v>Queen report</x:v>
      </x:c>
      <x:c r="D13" s="4" t="str">
        <x:v>As a simulation user, I want to see queen reporting when queen coordination is enabled so I can inspect central recommendations.</x:v>
      </x:c>
      <x:c r="E13" s="4" t="str">
        <x:v>Queen report renders only after simulation results and when use_queen is true.</x:v>
      </x:c>
      <x:c r="F13" s="4" t="str">
        <x:v>frontend/src/pages/Index.tsx; frontend/src/components/QueenAntReport.tsx</x:v>
      </x:c>
      <x:c r="G13" s="4" t="str">
        <x:v>Medium</x:v>
      </x:c>
      <x:c r="H13" s="4" t="str">
        <x:v>Inventoried</x:v>
      </x:c>
      <x:c r="I13" s="4" t="str">
        <x:v>Tested - Pass</x:v>
      </x:c>
      <x:c r="J13" s="4" t="str">
        <x:v>Browser retest: Queen Ant Report rendered after Rule-Based queen run with heuristic guidance text and report metadata.</x:v>
      </x:c>
      <x:c r="K13" s="4" t="str">
        <x:v>Not Applicable</x:v>
      </x:c>
      <x:c r="L13" s="4" t="str">
        <x:v>Not Applicable</x:v>
      </x:c>
    </x:row>
    <x:row r="14">
      <x:c r="A14" s="4" t="str">
        <x:v>ANT-010</x:v>
      </x:c>
      <x:c r="B14" s="4" t="str">
        <x:v>Ant Colony</x:v>
      </x:c>
      <x:c r="C14" s="4" t="str">
        <x:v>Performance analysis charts</x:v>
      </x:c>
      <x:c r="D14" s="4" t="str">
        <x:v>As a simulation user, I want performance charts after a run so I can understand food depletion, API calls, and pheromone/efficiency behavior.</x:v>
      </x:c>
      <x:c r="E14" s="4" t="str">
        <x:v>PerformanceCharts renders after results and receives food depletion, current metrics, pheromone data, and efficiency data.</x:v>
      </x:c>
      <x:c r="F14" s="4" t="str">
        <x:v>frontend/src/pages/Index.tsx; frontend/src/components/PerformanceCharts.tsx</x:v>
      </x:c>
      <x:c r="G14" s="4" t="str">
        <x:v>High</x:v>
      </x:c>
      <x:c r="H14" s="4" t="str">
        <x:v>Fixed</x:v>
      </x:c>
      <x:c r="I14" s="4" t="str">
        <x:v>Tested - Fail</x:v>
      </x:c>
      <x:c r="J14" s="4" t="str">
        <x:v>Charts rendered, but hotspot and efficiency summary copy described LLM ant behavior during a Rule-Based run.</x:v>
      </x:c>
      <x:c r="K14" s="4" t="str">
        <x:v>Fixed</x:v>
      </x:c>
      <x:c r="L14" s="4" t="str">
        <x:v>Retested - Pass</x:v>
      </x:c>
    </x:row>
    <x:row r="15">
      <x:c r="A15" s="4" t="str">
        <x:v>ANT-011</x:v>
      </x:c>
      <x:c r="B15" s="4" t="str">
        <x:v>Ant Colony</x:v>
      </x:c>
      <x:c r="C15" s="4" t="str">
        <x:v>Historical performance</x:v>
      </x:c>
      <x:c r="D15" s="4" t="str">
        <x:v>As a returning user, I want recent run history, aggregate stats, export, and clear controls so I can compare repeated simulations.</x:v>
      </x:c>
      <x:c r="E15" s="4" t="str">
        <x:v>History panel should show no-history state initially, then aggregate last 15 runs, export JSON, and clear history after confirmation.</x:v>
      </x:c>
      <x:c r="F15" s="4" t="str">
        <x:v>frontend/src/components/HistoricalPerformance.tsx; frontend/src/lib/simulationHistory.ts</x:v>
      </x:c>
      <x:c r="G15" s="4" t="str">
        <x:v>High</x:v>
      </x:c>
      <x:c r="H15" s="4" t="str">
        <x:v>Fixed</x:v>
      </x:c>
      <x:c r="I15" s="4" t="str">
        <x:v>Tested - Fail</x:v>
      </x:c>
      <x:c r="J15" s="4" t="str">
        <x:v>HistoricalPerformance expected synchronous local history helpers but simulationHistory.ts returned async API shapes; fixed with localStorage history and same-tab update event.</x:v>
      </x:c>
      <x:c r="K15" s="4" t="str">
        <x:v>Fixed</x:v>
      </x:c>
      <x:c r="L15" s="4" t="str">
        <x:v>Retested - Pass</x:v>
      </x:c>
    </x:row>
    <x:row r="16">
      <x:c r="A16" s="4" t="str">
        <x:v>ANT-012</x:v>
      </x:c>
      <x:c r="B16" s="4" t="str">
        <x:v>Ant Colony</x:v>
      </x:c>
      <x:c r="C16" s="4" t="str">
        <x:v>Blockchain analytics panel</x:v>
      </x:c>
      <x:c r="D16" s="4" t="str">
        <x:v>As a simulation user, I want blockchain transaction analytics after runs that produce transaction data so provenance claims are visible but not overstated.</x:v>
      </x:c>
      <x:c r="E16" s="4" t="str">
        <x:v>Panel renders only when simulationResults.blockchain_transactions exists and displays transaction metrics; transaction logging is opt-in so local Rule-Based runs stay fast.</x:v>
      </x:c>
      <x:c r="F16" s="4" t="str">
        <x:v>frontend/src/pages/Index.tsx; frontend/src/components/BlockchainMetrics.tsx; backend/main.py</x:v>
      </x:c>
      <x:c r="G16" s="4" t="str">
        <x:v>Medium</x:v>
      </x:c>
      <x:c r="H16" s="4" t="str">
        <x:v>Fixed</x:v>
      </x:c>
      <x:c r="I16" s="4" t="str">
        <x:v>Tested - Fail</x:v>
      </x:c>
      <x:c r="J16" s="4" t="str">
        <x:v>Backend ignored blockchain_enabled and submitted food collection transactions during default UI runs; now default false and passed into the model.</x:v>
      </x:c>
      <x:c r="K16" s="4" t="str">
        <x:v>Fixed</x:v>
      </x:c>
      <x:c r="L16" s="4" t="str">
        <x:v>Retested - Pass</x:v>
      </x:c>
    </x:row>
    <x:row r="17">
      <x:c r="A17" s="4" t="str">
        <x:v>ANT-013</x:v>
      </x:c>
      <x:c r="B17" s="4" t="str">
        <x:v>Ant Colony</x:v>
      </x:c>
      <x:c r="C17" s="4" t="str">
        <x:v>Queen comparison panel</x:v>
      </x:c>
      <x:c r="D17" s="4" t="str">
        <x:v>As a simulation user, I want to compare queen vs no-queen performance for the current config so I can judge coordination benefit.</x:v>
      </x:c>
      <x:c r="E17" s="4" t="str">
        <x:v>Run Queen Comparison POSTs /simulation/compare and displays summary cards, chart, and analysis.</x:v>
      </x:c>
      <x:c r="F17" s="4" t="str">
        <x:v>frontend/src/components/ComparisonPanel.tsx; backend/main.py</x:v>
      </x:c>
      <x:c r="G17" s="4" t="str">
        <x:v>High</x:v>
      </x:c>
      <x:c r="H17" s="4" t="str">
        <x:v>Inventoried</x:v>
      </x:c>
      <x:c r="I17" s="4" t="str">
        <x:v>Tested - Pass</x:v>
      </x:c>
      <x:c r="J17" s="4" t="str">
        <x:v>Browser/network retest: /simulation/compare returned 15 no-queen vs 15 with-queen; summary cards, chart, and analysis rendered.</x:v>
      </x:c>
      <x:c r="K17" s="4" t="str">
        <x:v>Not Applicable</x:v>
      </x:c>
      <x:c r="L17" s="4" t="str">
        <x:v>Not Applicable</x:v>
      </x:c>
    </x:row>
    <x:row r="18">
      <x:c r="A18" s="4" t="str">
        <x:v>COMP-001</x:v>
      </x:c>
      <x:c r="B18" s="4" t="str">
        <x:v>Comparison Lab</x:v>
      </x:c>
      <x:c r="C18" s="4" t="str">
        <x:v>Batch comparison parameter selection</x:v>
      </x:c>
      <x:c r="D18" s="4" t="str">
        <x:v>As an analyst, I want to select food counts, ant counts, agent types, and iterations so I can create a batch experiment matrix.</x:v>
      </x:c>
      <x:c r="E18" s="4" t="str">
        <x:v>Buttons toggle selected counts/types; iteration select updates total simulation count; empty food, ant, or agent selections disable run; config controls do not mutate during an active batch.</x:v>
      </x:c>
      <x:c r="F18" s="4" t="str">
        <x:v>frontend/src/pages/SimulationComparison.tsx</x:v>
      </x:c>
      <x:c r="G18" s="4" t="str">
        <x:v>High</x:v>
      </x:c>
      <x:c r="H18" s="4" t="str">
        <x:v>Fixed</x:v>
      </x:c>
      <x:c r="I18" s="4" t="str">
        <x:v>Tested - Fail</x:v>
      </x:c>
      <x:c r="J18" s="4" t="str">
        <x:v>Start was not disabled when agentTypes was empty, and config controls remained mutable during runs.</x:v>
      </x:c>
      <x:c r="K18" s="4" t="str">
        <x:v>Fixed</x:v>
      </x:c>
      <x:c r="L18" s="4" t="str">
        <x:v>Retested - Pass</x:v>
      </x:c>
    </x:row>
    <x:row r="19">
      <x:c r="A19" s="4" t="str">
        <x:v>COMP-002</x:v>
      </x:c>
      <x:c r="B19" s="4" t="str">
        <x:v>Comparison Lab</x:v>
      </x:c>
      <x:c r="C19" s="4" t="str">
        <x:v>Batch comparison execution</x:v>
      </x:c>
      <x:c r="D19" s="4" t="str">
        <x:v>As an analyst, I want to run all selected comparison combinations with progress feedback so I can gather comparative metrics.</x:v>
      </x:c>
      <x:c r="E19" s="4" t="str">
        <x:v>Start Comparison loops through selected configs, POSTs /simulation/run with local-fast defaults, updates progress/results, and shows per-run failures.</x:v>
      </x:c>
      <x:c r="F19" s="4" t="str">
        <x:v>frontend/src/pages/SimulationComparison.tsx; backend/main.py</x:v>
      </x:c>
      <x:c r="G19" s="4" t="str">
        <x:v>High</x:v>
      </x:c>
      <x:c r="H19" s="4" t="str">
        <x:v>Fixed</x:v>
      </x:c>
      <x:c r="I19" s="4" t="str">
        <x:v>Tested - Fail</x:v>
      </x:c>
      <x:c r="J19" s="4" t="str">
        <x:v>Comparison sent blockchain_enabled=true, causing slow real transaction logging even for Rule-Based one-run batches.</x:v>
      </x:c>
      <x:c r="K19" s="4" t="str">
        <x:v>Fixed</x:v>
      </x:c>
      <x:c r="L19" s="4" t="str">
        <x:v>Retested - Pass</x:v>
      </x:c>
    </x:row>
    <x:row r="20">
      <x:c r="A20" s="4" t="str">
        <x:v>COMP-003</x:v>
      </x:c>
      <x:c r="B20" s="4" t="str">
        <x:v>Comparison Lab</x:v>
      </x:c>
      <x:c r="C20" s="4" t="str">
        <x:v>Comparison charts, table, and CSV export</x:v>
      </x:c>
      <x:c r="D20" s="4" t="str">
        <x:v>As an analyst, I want charts, a detailed table, and CSV export after batch runs so I can review and share experiment outcomes.</x:v>
      </x:c>
      <x:c r="E20" s="4" t="str">
        <x:v>After results exist, charts and table render; Export CSV downloads timestamped CSV with the visible results.</x:v>
      </x:c>
      <x:c r="F20" s="4" t="str">
        <x:v>frontend/src/pages/SimulationComparison.tsx</x:v>
      </x:c>
      <x:c r="G20" s="4" t="str">
        <x:v>Medium</x:v>
      </x:c>
      <x:c r="H20" s="4" t="str">
        <x:v>Inventoried</x:v>
      </x:c>
      <x:c r="I20" s="4" t="str">
        <x:v>Tested - Pass</x:v>
      </x:c>
      <x:c r="J20" s="4" t="str">
        <x:v>Browser retest: charts and table rendered one result; CSV export generated simulation-comparison timestamped file and expected row.</x:v>
      </x:c>
      <x:c r="K20" s="4" t="str">
        <x:v>Not Applicable</x:v>
      </x:c>
      <x:c r="L20" s="4" t="str">
        <x:v>Not Applicable</x:v>
      </x:c>
    </x:row>
    <x:row r="21">
      <x:c r="A21" s="4" t="str">
        <x:v>TUMOR-001</x:v>
      </x:c>
      <x:c r="B21" s="4" t="str">
        <x:v>Tumor Simulation</x:v>
      </x:c>
      <x:c r="C21" s="4" t="str">
        <x:v>Domain setup</x:v>
      </x:c>
      <x:c r="D21" s="4" t="str">
        <x:v>As a tumor simulation user, I want to configure domain size, voxel size, and tumor radius so I can model different microenvironments.</x:v>
      </x:c>
      <x:c r="E21" s="4" t="str">
        <x:v>Domain accordion exposes numeric inputs with min/max/step attributes and updates config.</x:v>
      </x:c>
      <x:c r="F21" s="4" t="str">
        <x:v>frontend/src/components/TumorSimulationSidebar.tsx</x:v>
      </x:c>
      <x:c r="G21" s="4" t="str">
        <x:v>High</x:v>
      </x:c>
      <x:c r="H21" s="4" t="str">
        <x:v>Inventoried</x:v>
      </x:c>
      <x:c r="I21" s="4" t="str">
        <x:v>Tested - Pass</x:v>
      </x:c>
      <x:c r="J21" s="4" t="str">
        <x:v>Browser/network retest: Domain inputs exposed min/max/step; Domain Size keyboard increment changed 600-&gt;650 and request sent domain_size=650.</x:v>
      </x:c>
      <x:c r="K21" s="4" t="str">
        <x:v>Not Applicable</x:v>
      </x:c>
      <x:c r="L21" s="4" t="str">
        <x:v>Not Applicable</x:v>
      </x:c>
    </x:row>
    <x:row r="22">
      <x:c r="A22" s="4" t="str">
        <x:v>TUMOR-002</x:v>
      </x:c>
      <x:c r="B22" s="4" t="str">
        <x:v>Tumor Simulation</x:v>
      </x:c>
      <x:c r="C22" s="4" t="str">
        <x:v>Nanobot model setup</x:v>
      </x:c>
      <x:c r="D22" s="4" t="str">
        <x:v>As a tumor simulation user, I want to configure nanobot count, agent type, and model so I can compare nanobot control policies.</x:v>
      </x:c>
      <x:c r="E22" s="4" t="str">
        <x:v>Nanobot accordion exposes number input, agent select, and model select when non-rule-based.</x:v>
      </x:c>
      <x:c r="F22" s="4" t="str">
        <x:v>frontend/src/components/TumorSimulationSidebar.tsx</x:v>
      </x:c>
      <x:c r="G22" s="4" t="str">
        <x:v>High</x:v>
      </x:c>
      <x:c r="H22" s="4" t="str">
        <x:v>Inventoried</x:v>
      </x:c>
      <x:c r="I22" s="4" t="str">
        <x:v>Tested - Pass</x:v>
      </x:c>
      <x:c r="J22" s="4" t="str">
        <x:v>Browser retest: nanobot count input rendered; agent switched LLM-Powered-&gt;Rule-Based; model combobox hid for Rule-Based.</x:v>
      </x:c>
      <x:c r="K22" s="4" t="str">
        <x:v>Not Applicable</x:v>
      </x:c>
      <x:c r="L22" s="4" t="str">
        <x:v>Not Applicable</x:v>
      </x:c>
    </x:row>
    <x:row r="23">
      <x:c r="A23" s="4" t="str">
        <x:v>TUMOR-003</x:v>
      </x:c>
      <x:c r="B23" s="4" t="str">
        <x:v>Tumor Simulation</x:v>
      </x:c>
      <x:c r="C23" s="4" t="str">
        <x:v>Queen coordination setup</x:v>
      </x:c>
      <x:c r="D23" s="4" t="str">
        <x:v>As a tumor simulation user, I want to enable queen coordination and LLM queen behavior so I can test swarm guidance.</x:v>
      </x:c>
      <x:c r="E23" s="4" t="str">
        <x:v>Queen accordion controls use_queen and conditionally exposes use_llm_queen.</x:v>
      </x:c>
      <x:c r="F23" s="4" t="str">
        <x:v>frontend/src/components/TumorSimulationSidebar.tsx</x:v>
      </x:c>
      <x:c r="G23" s="4" t="str">
        <x:v>Medium</x:v>
      </x:c>
      <x:c r="H23" s="4" t="str">
        <x:v>Fixed</x:v>
      </x:c>
      <x:c r="I23" s="4" t="str">
        <x:v>Tested - Fail</x:v>
      </x:c>
      <x:c r="J23" s="4" t="str">
        <x:v>LLM Queen control hid when Queen was disabled, but hidden use_llm_queen still submitted true.</x:v>
      </x:c>
      <x:c r="K23" s="4" t="str">
        <x:v>Fixed</x:v>
      </x:c>
      <x:c r="L23" s="4" t="str">
        <x:v>Retested - Pass</x:v>
      </x:c>
    </x:row>
    <x:row r="24">
      <x:c r="A24" s="4" t="str">
        <x:v>TUMOR-004</x:v>
      </x:c>
      <x:c r="B24" s="4" t="str">
        <x:v>Tumor Simulation</x:v>
      </x:c>
      <x:c r="C24" s="4" t="str">
        <x:v>Advanced simulation settings</x:v>
      </x:c>
      <x:c r="D24" s="4" t="str">
        <x:v>As a tumor simulation user, I want to tune max steps, cell density, and vessel density so I can change simulation scale and biology.</x:v>
      </x:c>
      <x:c r="E24" s="4" t="str">
        <x:v>Advanced accordion exposes numeric inputs that update config before run.</x:v>
      </x:c>
      <x:c r="F24" s="4" t="str">
        <x:v>frontend/src/components/TumorSimulationSidebar.tsx</x:v>
      </x:c>
      <x:c r="G24" s="4" t="str">
        <x:v>Medium</x:v>
      </x:c>
      <x:c r="H24" s="4" t="str">
        <x:v>Inventoried</x:v>
      </x:c>
      <x:c r="I24" s="4" t="str">
        <x:v>Tested - Pass</x:v>
      </x:c>
      <x:c r="J24" s="4" t="str">
        <x:v>Browser/network retest: max steps, cell density, and vessel density inputs rendered with min/max/step and request sent max_steps=200, cell_density=0.001, vessel_density=0.01.</x:v>
      </x:c>
      <x:c r="K24" s="4" t="str">
        <x:v>Not Applicable</x:v>
      </x:c>
      <x:c r="L24" s="4" t="str">
        <x:v>Not Applicable</x:v>
      </x:c>
    </x:row>
    <x:row r="25">
      <x:c r="A25" s="4" t="str">
        <x:v>TUMOR-005</x:v>
      </x:c>
      <x:c r="B25" s="4" t="str">
        <x:v>Tumor Simulation</x:v>
      </x:c>
      <x:c r="C25" s="4" t="str">
        <x:v>Run tumor simulation</x:v>
      </x:c>
      <x:c r="D25" s="4" t="str">
        <x:v>As a tumor simulation user, I want to run the configured glioblastoma simulation and see loading, results, and stored session state.</x:v>
      </x:c>
      <x:c r="E25" s="4" t="str">
        <x:v>Run POSTs /simulation/tumor/run unless preview mode; success shows playback; sessionStorage caching is best-effort and must not fail the completed run.</x:v>
      </x:c>
      <x:c r="F25" s="4" t="str">
        <x:v>frontend/src/pages/TumorSimulation.tsx; backend/main.py</x:v>
      </x:c>
      <x:c r="G25" s="4" t="str">
        <x:v>Critical</x:v>
      </x:c>
      <x:c r="H25" s="4" t="str">
        <x:v>Fixed</x:v>
      </x:c>
      <x:c r="I25" s="4" t="str">
        <x:v>Tested - Fail</x:v>
      </x:c>
      <x:c r="J25" s="4" t="str">
        <x:v>Large tumor result payload exceeded sessionStorage quota and was treated as a simulation failure.</x:v>
      </x:c>
      <x:c r="K25" s="4" t="str">
        <x:v>Fixed</x:v>
      </x:c>
      <x:c r="L25" s="4" t="str">
        <x:v>Retested - Pass</x:v>
      </x:c>
    </x:row>
    <x:row r="26">
      <x:c r="A26" s="4" t="str">
        <x:v>TUMOR-006</x:v>
      </x:c>
      <x:c r="B26" s="4" t="str">
        <x:v>Tumor Simulation</x:v>
      </x:c>
      <x:c r="C26" s="4" t="str">
        <x:v>Tumor playback controls</x:v>
      </x:c>
      <x:c r="D26" s="4" t="str">
        <x:v>As a tumor simulation user, I want to play, pause, step, reset, jump start/end, set speed, and scrub progress so I can inspect treatment evolution.</x:v>
      </x:c>
      <x:c r="E26" s="4" t="str">
        <x:v>Buttons update current step/play state; progress slider changes current step, pauses playback, and persists the selected step.</x:v>
      </x:c>
      <x:c r="F26" s="4" t="str">
        <x:v>frontend/src/components/TumorSimulationControls.tsx; frontend/src/pages/TumorSimulation.tsx</x:v>
      </x:c>
      <x:c r="G26" s="4" t="str">
        <x:v>High</x:v>
      </x:c>
      <x:c r="H26" s="4" t="str">
        <x:v>Fixed</x:v>
      </x:c>
      <x:c r="I26" s="4" t="str">
        <x:v>Tested - Fail</x:v>
      </x:c>
      <x:c r="J26" s="4" t="str">
        <x:v>Progress slider had an onValueChange comment saying it was visual only and did not update parent currentStep.</x:v>
      </x:c>
      <x:c r="K26" s="4" t="str">
        <x:v>Fixed</x:v>
      </x:c>
      <x:c r="L26" s="4" t="str">
        <x:v>Retested - Pass</x:v>
      </x:c>
    </x:row>
    <x:row r="27">
      <x:c r="A27" s="4" t="str">
        <x:v>TUMOR-007</x:v>
      </x:c>
      <x:c r="B27" s="4" t="str">
        <x:v>Tumor Simulation</x:v>
      </x:c>
      <x:c r="C27" s="4" t="str">
        <x:v>Substrate tabs and detail mode</x:v>
      </x:c>
      <x:c r="D27" s="4" t="str">
        <x:v>As a tumor simulation user, I want to switch substrate maps and simple/detailed rendering so I can inspect biological signals.</x:v>
      </x:c>
      <x:c r="E27" s="4" t="str">
        <x:v>Tabs switch selected substrate among oxygen, drug, IFN-gamma, TNF-alpha, perforin, chemokine; mode buttons toggle detailed rendering.</x:v>
      </x:c>
      <x:c r="F27" s="4" t="str">
        <x:v>frontend/src/pages/TumorSimulation.tsx; frontend/src/components/TumorSimulationGrid.tsx</x:v>
      </x:c>
      <x:c r="G27" s="4" t="str">
        <x:v>High</x:v>
      </x:c>
      <x:c r="H27" s="4" t="str">
        <x:v>Inventoried</x:v>
      </x:c>
      <x:c r="I27" s="4" t="str">
        <x:v>Tested - Pass</x:v>
      </x:c>
      <x:c r="J27" s="4" t="str">
        <x:v>Browser retest after tumor run: Simple/Detailed controls and Oxygen, Drug, IFN, TNF, Perforin, Chemokine substrate tabs rendered; Detailed and Chemokine clicks produced 0 console warnings/errors.</x:v>
      </x:c>
      <x:c r="K27" s="4" t="str">
        <x:v>Not Applicable</x:v>
      </x:c>
      <x:c r="L27" s="4" t="str">
        <x:v>Not Applicable</x:v>
      </x:c>
    </x:row>
    <x:row r="28">
      <x:c r="A28" s="4" t="str">
        <x:v>TUMOR-008</x:v>
      </x:c>
      <x:c r="B28" s="4" t="str">
        <x:v>Tumor Simulation</x:v>
      </x:c>
      <x:c r="C28" s="4" t="str">
        <x:v>Tumor visualization legend</x:v>
      </x:c>
      <x:c r="D28" s="4" t="str">
        <x:v>As a tumor simulation user, I want a legend after results so I can interpret nanobots, tumor cells, vessels, and hypoxic regions.</x:v>
      </x:c>
      <x:c r="E28" s="4" t="str">
        <x:v>Legend renders after simulation results and uses consistent visual labels.</x:v>
      </x:c>
      <x:c r="F28" s="4" t="str">
        <x:v>frontend/src/pages/TumorSimulation.tsx</x:v>
      </x:c>
      <x:c r="G28" s="4" t="str">
        <x:v>Low</x:v>
      </x:c>
      <x:c r="H28" s="4" t="str">
        <x:v>Inventoried</x:v>
      </x:c>
      <x:c r="I28" s="4" t="str">
        <x:v>Tested - Pass</x:v>
      </x:c>
      <x:c r="J28" s="4" t="str">
        <x:v>Browser retest: Visualization Legend rendered after results with Nanobots, Tumor Cells, Blood Vessels, and Hypoxic Regions.</x:v>
      </x:c>
      <x:c r="K28" s="4" t="str">
        <x:v>Not Applicable</x:v>
      </x:c>
      <x:c r="L28" s="4" t="str">
        <x:v>Not Applicable</x:v>
      </x:c>
    </x:row>
    <x:row r="29">
      <x:c r="A29" s="4" t="str">
        <x:v>HUNT-001</x:v>
      </x:c>
      <x:c r="B29" s="4" t="str">
        <x:v>Tumor Hunt</x:v>
      </x:c>
      <x:c r="C29" s="4" t="str">
        <x:v>Hunt configuration</x:v>
      </x:c>
      <x:c r="D29" s="4" t="str">
        <x:v>As a hunt user, I want to configure agent type/model, nanobots, waves, cell counts, kill threshold, and pheromone overlay so I can run wave-based hunts.</x:v>
      </x:c>
      <x:c r="E29" s="4" t="str">
        <x:v>Configuration panel updates HuntConfig; model select appears for non-rule-based agents; pheromone checkbox toggles overlay; copy does not imply LLM-only behavior when Rule-Based is selected.</x:v>
      </x:c>
      <x:c r="F29" s="4" t="str">
        <x:v>frontend/src/pages/TumorHunt.tsx</x:v>
      </x:c>
      <x:c r="G29" s="4" t="str">
        <x:v>High</x:v>
      </x:c>
      <x:c r="H29" s="4" t="str">
        <x:v>Fixed</x:v>
      </x:c>
      <x:c r="I29" s="4" t="str">
        <x:v>Tested - Fail</x:v>
      </x:c>
      <x:c r="J29" s="4" t="str">
        <x:v>Header copy said LLM-brained nanobots even though the default and tested path is Rule-Based.</x:v>
      </x:c>
      <x:c r="K29" s="4" t="str">
        <x:v>Fixed</x:v>
      </x:c>
      <x:c r="L29" s="4" t="str">
        <x:v>Retested - Pass</x:v>
      </x:c>
    </x:row>
    <x:row r="30">
      <x:c r="A30" s="4" t="str">
        <x:v>HUNT-002</x:v>
      </x:c>
      <x:c r="B30" s="4" t="str">
        <x:v>Tumor Hunt</x:v>
      </x:c>
      <x:c r="C30" s="4" t="str">
        <x:v>Run hunt simulation</x:v>
      </x:c>
      <x:c r="D30" s="4" t="str">
        <x:v>As a hunt user, I want to run the wave-based hunt and see progress/errors so I can evaluate eradication behavior.</x:v>
      </x:c>
      <x:c r="E30" s="4" t="str">
        <x:v>Run Hunt POSTs /simulation/tumor/hunt with 300s timeout; loading progress is shown; errors render in the config card.</x:v>
      </x:c>
      <x:c r="F30" s="4" t="str">
        <x:v>frontend/src/pages/TumorHunt.tsx; backend/main.py</x:v>
      </x:c>
      <x:c r="G30" s="4" t="str">
        <x:v>Critical</x:v>
      </x:c>
      <x:c r="H30" s="4" t="str">
        <x:v>Inventoried</x:v>
      </x:c>
      <x:c r="I30" s="4" t="str">
        <x:v>Tested - Pass</x:v>
      </x:c>
      <x:c r="J30" s="4" t="str">
        <x:v>Browser/backend retest: default Rule-Based hunt completed with 34/34 cells killed and no console warnings/errors.</x:v>
      </x:c>
      <x:c r="K30" s="4" t="str">
        <x:v>Not Applicable</x:v>
      </x:c>
      <x:c r="L30" s="4" t="str">
        <x:v>Not Applicable</x:v>
      </x:c>
    </x:row>
    <x:row r="31">
      <x:c r="A31" s="4" t="str">
        <x:v>HUNT-003</x:v>
      </x:c>
      <x:c r="B31" s="4" t="str">
        <x:v>Tumor Hunt</x:v>
      </x:c>
      <x:c r="C31" s="4" t="str">
        <x:v>Wave notifications and live stats</x:v>
      </x:c>
      <x:c r="D31" s="4" t="str">
        <x:v>As a hunt user, I want wave arrival alerts and live stats so I can understand dynamic tumor spawning.</x:v>
      </x:c>
      <x:c r="E31" s="4" t="str">
        <x:v>Wave notification appears when live cell count rises; stats show alive/killed cells, waves, drug, efficiency, and nanobot states.</x:v>
      </x:c>
      <x:c r="F31" s="4" t="str">
        <x:v>frontend/src/pages/TumorHunt.tsx</x:v>
      </x:c>
      <x:c r="G31" s="4" t="str">
        <x:v>High</x:v>
      </x:c>
      <x:c r="H31" s="4" t="str">
        <x:v>Inventoried</x:v>
      </x:c>
      <x:c r="I31" s="4" t="str">
        <x:v>Tested - Pass</x:v>
      </x:c>
      <x:c r="J31" s="4" t="str">
        <x:v>Browser retest showed Wave 4 notification plus live stats for alive/killed cells, drug delivered, efficiency, and nanobot state counts.</x:v>
      </x:c>
      <x:c r="K31" s="4" t="str">
        <x:v>Not Applicable</x:v>
      </x:c>
      <x:c r="L31" s="4" t="str">
        <x:v>Not Applicable</x:v>
      </x:c>
    </x:row>
    <x:row r="32">
      <x:c r="A32" s="4" t="str">
        <x:v>HUNT-004</x:v>
      </x:c>
      <x:c r="B32" s="4" t="str">
        <x:v>Tumor Hunt</x:v>
      </x:c>
      <x:c r="C32" s="4" t="str">
        <x:v>Hunt playback and scrubber</x:v>
      </x:c>
      <x:c r="D32" s="4" t="str">
        <x:v>As a hunt user, I want playback buttons and a step scrubber so I can inspect each hunt step after results.</x:v>
      </x:c>
      <x:c r="E32" s="4" t="str">
        <x:v>Buttons jump start/back/play/forward/end; range input changes currentStep and pauses playback.</x:v>
      </x:c>
      <x:c r="F32" s="4" t="str">
        <x:v>frontend/src/pages/TumorHunt.tsx</x:v>
      </x:c>
      <x:c r="G32" s="4" t="str">
        <x:v>High</x:v>
      </x:c>
      <x:c r="H32" s="4" t="str">
        <x:v>Inventoried</x:v>
      </x:c>
      <x:c r="I32" s="4" t="str">
        <x:v>Tested - Pass</x:v>
      </x:c>
      <x:c r="J32" s="4" t="str">
        <x:v>Browser retest: autoplay reached final summary, scrubber moved from 107/107 to 54/107 and paused.</x:v>
      </x:c>
      <x:c r="K32" s="4" t="str">
        <x:v>Not Applicable</x:v>
      </x:c>
      <x:c r="L32" s="4" t="str">
        <x:v>Not Applicable</x:v>
      </x:c>
    </x:row>
    <x:row r="33">
      <x:c r="A33" s="4" t="str">
        <x:v>API-001</x:v>
      </x:c>
      <x:c r="B33" s="4" t="str">
        <x:v>Backend</x:v>
      </x:c>
      <x:c r="C33" s="4" t="str">
        <x:v>Health and quick test endpoints</x:v>
      </x:c>
      <x:c r="D33" s="4" t="str">
        <x:v>As an operator, I want health and quick-test endpoints so I can verify the backend is alive and simulation basics work.</x:v>
      </x:c>
      <x:c r="E33" s="4" t="str">
        <x:v>GET /health, GET /test, POST /simulation/test, and GET /simulation/tumor/test return structured status/test payloads.</x:v>
      </x:c>
      <x:c r="F33" s="4" t="str">
        <x:v>backend/main.py; backend/api_server.py</x:v>
      </x:c>
      <x:c r="G33" s="4" t="str">
        <x:v>High</x:v>
      </x:c>
      <x:c r="H33" s="4" t="str">
        <x:v>Fixed</x:v>
      </x:c>
      <x:c r="I33" s="4" t="str">
        <x:v>Tested - Fail</x:v>
      </x:c>
      <x:c r="J33" s="4" t="str">
        <x:v>backend.main import failed before sys.path included backend/ because litellm_client was imported too early; import order fixed.</x:v>
      </x:c>
      <x:c r="K33" s="4" t="str">
        <x:v>Fixed</x:v>
      </x:c>
      <x:c r="L33" s="4" t="str">
        <x:v>Retested - Pass</x:v>
      </x:c>
    </x:row>
    <x:row r="34">
      <x:c r="A34" s="4" t="str">
        <x:v>API-002</x:v>
      </x:c>
      <x:c r="B34" s="4" t="str">
        <x:v>Backend</x:v>
      </x:c>
      <x:c r="C34" s="4" t="str">
        <x:v>Ant simulation endpoints</x:v>
      </x:c>
      <x:c r="D34" s="4" t="str">
        <x:v>As the frontend, I need ant simulation, comparison, and performance endpoints so ant UI workflows have executable backing.</x:v>
      </x:c>
      <x:c r="E34" s="4" t="str">
        <x:v>POST /simulation/run, /simulation/compare, and /simulation/performance accept schema configs and return structured results.</x:v>
      </x:c>
      <x:c r="F34" s="4" t="str">
        <x:v>backend/main.py; backend/schemas.py</x:v>
      </x:c>
      <x:c r="G34" s="4" t="str">
        <x:v>Critical</x:v>
      </x:c>
      <x:c r="H34" s="4" t="str">
        <x:v>Fixed</x:v>
      </x:c>
      <x:c r="I34" s="4" t="str">
        <x:v>Tested - Fail</x:v>
      </x:c>
      <x:c r="J34" s="4" t="str">
        <x:v>CORS missing 127.0.0.1:8081 and metrics double-counted food after pickup/dropoff; both fixed and retested.</x:v>
      </x:c>
      <x:c r="K34" s="4" t="str">
        <x:v>Fixed</x:v>
      </x:c>
      <x:c r="L34" s="4" t="str">
        <x:v>Retested - Pass</x:v>
      </x:c>
    </x:row>
    <x:row r="35">
      <x:c r="A35" s="4" t="str">
        <x:v>API-003</x:v>
      </x:c>
      <x:c r="B35" s="4" t="str">
        <x:v>Backend</x:v>
      </x:c>
      <x:c r="C35" s="4" t="str">
        <x:v>Tumor simulation endpoints</x:v>
      </x:c>
      <x:c r="D35" s="4" t="str">
        <x:v>As the frontend, I need tumor simulation, hunt, strategy comparison, and CED comparison endpoints so medical workflows have executable backing.</x:v>
      </x:c>
      <x:c r="E35" s="4" t="str">
        <x:v>POST /simulation/tumor/run, /performance, /compare, /hunt, and /compare-ced return structured or JSON results.</x:v>
      </x:c>
      <x:c r="F35" s="4" t="str">
        <x:v>backend/main.py; backend/schemas.py</x:v>
      </x:c>
      <x:c r="G35" s="4" t="str">
        <x:v>Critical</x:v>
      </x:c>
      <x:c r="H35" s="4" t="str">
        <x:v>Fixed</x:v>
      </x:c>
      <x:c r="I35" s="4" t="str">
        <x:v>Tested - Fail</x:v>
      </x:c>
      <x:c r="J35" s="4" t="str">
        <x:v>Tumor quick-test and strategy endpoints worked, but Rule-Based runs logged IO_SECRET_KEY missing even though no LLM path was active.</x:v>
      </x:c>
      <x:c r="K35" s="4" t="str">
        <x:v>Fixed</x:v>
      </x:c>
      <x:c r="L35" s="4" t="str">
        <x:v>Retested - Pass</x:v>
      </x:c>
    </x:row>
    <x:row r="36">
      <x:c r="A36" s="4" t="str">
        <x:v>API-004</x:v>
      </x:c>
      <x:c r="B36" s="4" t="str">
        <x:v>Backend</x:v>
      </x:c>
      <x:c r="C36" s="4" t="str">
        <x:v>Simulation cache/history endpoints</x:v>
      </x:c>
      <x:c r="D36" s="4" t="str">
        <x:v>As a user, I want runs cached and comparable later so history features are persistent beyond the current component.</x:v>
      </x:c>
      <x:c r="E36" s="4" t="str">
        <x:v>POST /simulation/cache, GET /simulation/history, and GET /simulation/compare/{id1}/{id2} manage cached_simulations in memory.</x:v>
      </x:c>
      <x:c r="F36" s="4" t="str">
        <x:v>backend/main.py; frontend/src/lib/simulationHistory.ts</x:v>
      </x:c>
      <x:c r="G36" s="4" t="str">
        <x:v>Medium</x:v>
      </x:c>
      <x:c r="H36" s="4" t="str">
        <x:v>Inventoried</x:v>
      </x:c>
      <x:c r="I36" s="4" t="str">
        <x:v>Tested - Pass</x:v>
      </x:c>
      <x:c r="J36" s="4" t="str">
        <x:v>Live HTTP retest: cached ant/tumor payloads, history returned both, type filter returned tumor only, compare returned side-by-side metrics and differences.</x:v>
      </x:c>
      <x:c r="K36" s="4" t="str">
        <x:v>Not Applicable</x:v>
      </x:c>
      <x:c r="L36" s="4" t="str">
        <x:v>Not Applicable</x:v>
      </x:c>
    </x:row>
    <x:row r="37">
      <x:c r="A37" s="4" t="str">
        <x:v>API-005</x:v>
      </x:c>
      <x:c r="B37" s="4" t="str">
        <x:v>Backend</x:v>
      </x:c>
      <x:c r="C37" s="4" t="str">
        <x:v>Packaged API server endpoints</x:v>
      </x:c>
      <x:c r="D37" s="4" t="str">
        <x:v>As an integrator, I want the packaged antelligence-api entrypoint to run the documented durable API so CLI/local integrations can store and retrieve runs.</x:v>
      </x:c>
      <x:c r="E37" s="4" t="str">
        <x:v>backend/api_server.py exposes /health, /simulate, and /runs/{run_id} with SQLite run storage.</x:v>
      </x:c>
      <x:c r="F37" s="4" t="str">
        <x:v>backend/api_server.py; README.md; pyproject.toml</x:v>
      </x:c>
      <x:c r="G37" s="4" t="str">
        <x:v>Medium</x:v>
      </x:c>
      <x:c r="H37" s="4" t="str">
        <x:v>Fixed</x:v>
      </x:c>
      <x:c r="I37" s="4" t="str">
        <x:v>Tested - Fail</x:v>
      </x:c>
      <x:c r="J37" s="4" t="str">
        <x:v>Documented uv-run entrypoints were unavailable because uv packaging was disabled, and basic API runs defaulted to LLM mode.</x:v>
      </x:c>
      <x:c r="K37" s="4" t="str">
        <x:v>Fixed</x:v>
      </x:c>
      <x:c r="L37" s="4" t="str">
        <x:v>Retested - Pass</x:v>
      </x:c>
    </x:row>
    <x:row r="38">
      <x:c r="A38" s="4" t="str">
        <x:v>CLI-001</x:v>
      </x:c>
      <x:c r="B38" s="4" t="str">
        <x:v>CLI</x:v>
      </x:c>
      <x:c r="C38" s="4" t="str">
        <x:v>Single simulation CLI</x:v>
      </x:c>
      <x:c r="D38" s="4" t="str">
        <x:v>As an operator, I want to run one simulation from the terminal and optionally write JSON so I can reproduce runs outside the UI.</x:v>
      </x:c>
      <x:c r="E38" s="4" t="str">
        <x:v>antelligence simulate accepts --steps, --bots, --grid-size, --seed, --output and writes config/metrics JSON.</x:v>
      </x:c>
      <x:c r="F38" s="4" t="str">
        <x:v>backend/cli.py; README.md; pyproject.toml</x:v>
      </x:c>
      <x:c r="G38" s="4" t="str">
        <x:v>Medium</x:v>
      </x:c>
      <x:c r="H38" s="4" t="str">
        <x:v>Fixed</x:v>
      </x:c>
      <x:c r="I38" s="4" t="str">
        <x:v>Tested - Fail</x:v>
      </x:c>
      <x:c r="J38" s="4" t="str">
        <x:v>uv run antelligence could not spawn, and the module-path simulate command emitted an irrelevant IO_SECRET_KEY warning.</x:v>
      </x:c>
      <x:c r="K38" s="4" t="str">
        <x:v>Fixed</x:v>
      </x:c>
      <x:c r="L38" s="4" t="str">
        <x:v>Retested - Pass</x:v>
      </x:c>
    </x:row>
    <x:row r="39">
      <x:c r="A39" s="4" t="str">
        <x:v>CLI-002</x:v>
      </x:c>
      <x:c r="B39" s="4" t="str">
        <x:v>CLI</x:v>
      </x:c>
      <x:c r="C39" s="4" t="str">
        <x:v>Benchmark CLI</x:v>
      </x:c>
      <x:c r="D39" s="4" t="str">
        <x:v>As an operator, I want to run repeated simulations and aggregate kill-rate stats so I can compare parameter choices quickly.</x:v>
      </x:c>
      <x:c r="E39" s="4" t="str">
        <x:v>antelligence benchmark accepts --runs, --steps, --bots, --grid-size, --output and returns summary/results.</x:v>
      </x:c>
      <x:c r="F39" s="4" t="str">
        <x:v>backend/cli.py; pyproject.toml</x:v>
      </x:c>
      <x:c r="G39" s="4" t="str">
        <x:v>Medium</x:v>
      </x:c>
      <x:c r="H39" s="4" t="str">
        <x:v>Fixed</x:v>
      </x:c>
      <x:c r="I39" s="4" t="str">
        <x:v>Tested - Fail</x:v>
      </x:c>
      <x:c r="J39" s="4" t="str">
        <x:v>uv run antelligence could not spawn, and benchmark runs emitted irrelevant IO_SECRET_KEY warnings.</x:v>
      </x:c>
      <x:c r="K39" s="4" t="str">
        <x:v>Fixed</x:v>
      </x:c>
      <x:c r="L39" s="4" t="str">
        <x:v>Retested - Pass</x:v>
      </x:c>
    </x:row>
    <x:row r="40">
      <x:c r="A40" s="4" t="str">
        <x:v>CLI-003</x:v>
      </x:c>
      <x:c r="B40" s="4" t="str">
        <x:v>CLI</x:v>
      </x:c>
      <x:c r="C40" s="4" t="str">
        <x:v>Leaderboard CLI</x:v>
      </x:c>
      <x:c r="D40" s="4" t="str">
        <x:v>As an operator, I want to read the on-chain leaderboard with an offline fallback so blockchain availability does not crash the CLI.</x:v>
      </x:c>
      <x:c r="E40" s="4" t="str">
        <x:v>antelligence leaderboard accepts --limit and prints leaderboard table or offline fallback message.</x:v>
      </x:c>
      <x:c r="F40" s="4" t="str">
        <x:v>backend/cli.py; backend/chain/leaderboard.py; pyproject.toml</x:v>
      </x:c>
      <x:c r="G40" s="4" t="str">
        <x:v>Low</x:v>
      </x:c>
      <x:c r="H40" s="4" t="str">
        <x:v>Fixed</x:v>
      </x:c>
      <x:c r="I40" s="4" t="str">
        <x:v>Tested - Fail</x:v>
      </x:c>
      <x:c r="J40" s="4" t="str">
        <x:v>uv run antelligence could not spawn the documented leaderboard command before packaging was enabled.</x:v>
      </x:c>
      <x:c r="K40" s="4" t="str">
        <x:v>Fixed</x:v>
      </x:c>
      <x:c r="L40" s="4" t="str">
        <x:v>Retested - Pass</x:v>
      </x:c>
    </x:row>
  </x:sheetData>
  <x:dataValidations count="1">
    <x:dataValidation type="list" sqref="H2:L40">
      <x:formula1>"Pending,Inventoried,Code Issue Candidate,Tested - Pass,Tested - Fail,Fixed,Retested - Pass,Retested - Fail,Not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9e38d56dd64c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70" hidden="0" customWidth="1"/>
    <x:col min="5" max="5" width="48" hidden="0" customWidth="1"/>
    <x:col min="6" max="6" width="22" hidden="0" customWidth="1"/>
    <x:col min="7" max="7" width="22" hidden="0" customWidth="1"/>
  </x:cols>
  <x:sheetData>
    <x:row r="1">
      <x:c r="A1" s="10" t="str">
        <x:v>Issue ID</x:v>
      </x:c>
      <x:c r="B1" s="10" t="str">
        <x:v>Feature ID</x:v>
      </x:c>
      <x:c r="C1" s="10" t="str">
        <x:v>Issue Type</x:v>
      </x:c>
      <x:c r="D1" s="10" t="str">
        <x:v>Observed From Code</x:v>
      </x:c>
      <x:c r="E1" s="10" t="str">
        <x:v>Evidence</x:v>
      </x:c>
      <x:c r="F1" s="10" t="str">
        <x:v>Verification Status</x:v>
      </x:c>
      <x:c r="G1" s="10" t="str">
        <x:v>Fix Status</x:v>
      </x:c>
    </x:row>
    <x:row r="2">
      <x:c r="A2" s="4" t="str">
        <x:v>ISS-001</x:v>
      </x:c>
      <x:c r="B2" s="4" t="str">
        <x:v>ANT-011</x:v>
      </x:c>
      <x:c r="C2" s="4" t="str">
        <x:v>Runtime crash</x:v>
      </x:c>
      <x:c r="D2" s="4" t="str">
        <x:v>HistoricalPerformance calls getAggregatedStats/getSimulationCount/exportHistoryAsJSON/clearSimulationHistory synchronously, but simulationHistory.ts exported async API-backed helpers with different return shapes.</x:v>
      </x:c>
      <x:c r="E2" s="4" t="str">
        <x:v>frontend/src/components/HistoricalPerformance.tsx; frontend/src/lib/simulationHistory.ts</x:v>
      </x:c>
      <x:c r="F2" s="4" t="str">
        <x:v>Verified in browser: stats.map is not a function</x:v>
      </x:c>
      <x:c r="G2" s="4" t="str">
        <x:v>Fixed; retested pass</x:v>
      </x:c>
    </x:row>
    <x:row r="3">
      <x:c r="A3" s="4" t="str">
        <x:v>ISS-002</x:v>
      </x:c>
      <x:c r="B3" s="4" t="str">
        <x:v>TUMOR-006</x:v>
      </x:c>
      <x:c r="C3" s="4" t="str">
        <x:v>Non-functional progress scrubber</x:v>
      </x:c>
      <x:c r="D3" s="4" t="str">
        <x:v>TumorSimulationControls slider had no parent update handler and onValueChange was intentionally a no-op.</x:v>
      </x:c>
      <x:c r="E3" s="4" t="str">
        <x:v>frontend/src/components/TumorSimulationControls.tsx; frontend/src/pages/TumorSimulation.tsx</x:v>
      </x:c>
      <x:c r="F3" s="4" t="str">
        <x:v>Verified from code and browser retest</x:v>
      </x:c>
      <x:c r="G3" s="4" t="str">
        <x:v>Fixed; slider retested to Step 101/200</x:v>
      </x:c>
    </x:row>
    <x:row r="4">
      <x:c r="A4" s="4" t="str">
        <x:v>ISS-003</x:v>
      </x:c>
      <x:c r="B4" s="4" t="str">
        <x:v>APP-003</x:v>
      </x:c>
      <x:c r="C4" s="4" t="str">
        <x:v>CORS port coverage</x:v>
      </x:c>
      <x:c r="D4" s="4" t="str">
        <x:v>Vite frontend runs on port 8081, while backend/main.py CORS origins included 8080 and 5173 but not 8081.</x:v>
      </x:c>
      <x:c r="E4" s="4" t="str">
        <x:v>frontend/package.json; backend/main.py</x:v>
      </x:c>
      <x:c r="F4" s="4" t="str">
        <x:v>Verified by failed OPTIONS preflight from http://127.0.0.1:8081</x:v>
      </x:c>
      <x:c r="G4" s="4" t="str">
        <x:v>Fixed; preflight retested 200 OK</x:v>
      </x:c>
    </x:row>
    <x:row r="5">
      <x:c r="A5" s="4" t="str">
        <x:v>ISS-004</x:v>
      </x:c>
      <x:c r="B5" s="4" t="str">
        <x:v>APP-001</x:v>
      </x:c>
      <x:c r="C5" s="4" t="str">
        <x:v>Lint warning cluster</x:v>
      </x:c>
      <x:c r="D5" s="4" t="str">
        <x:v>npm --prefix frontend run lint passes with warnings: IntroPage missing handleEnter hook dependency, TumorSimulationGrid missing nanobotTrails hook dependency, and shadcn UI files trigger fast-refresh export warnings.</x:v>
      </x:c>
      <x:c r="E5" s="4" t="str">
        <x:v>frontend/src/components/IntroPage.tsx; frontend/src/components/TumorSimulationGrid.tsx; frontend/src/components/ui/*.tsx</x:v>
      </x:c>
      <x:c r="F5" s="4" t="str">
        <x:v>Verified warning</x:v>
      </x:c>
      <x:c r="G5" s="4" t="str">
        <x:v>Pending</x:v>
      </x:c>
    </x:row>
    <x:row r="6">
      <x:c r="A6" s="4" t="str">
        <x:v>ISS-005</x:v>
      </x:c>
      <x:c r="B6" s="4" t="str">
        <x:v>ANT-012</x:v>
      </x:c>
      <x:c r="C6" s="4" t="str">
        <x:v>Slow default UI run</x:v>
      </x:c>
      <x:c r="D6" s="4" t="str">
        <x:v>Backend ignored blockchain_enabled and initialized real food collection transaction logging even when the frontend intended a local-only run.</x:v>
      </x:c>
      <x:c r="E6" s="4" t="str">
        <x:v>backend/schemas.py; backend/main.py; backend/simulation.py; frontend/src/components/SimulationSidebar.tsx</x:v>
      </x:c>
      <x:c r="F6" s="4" t="str">
        <x:v>Verified in backend logs and browser hang/slow run</x:v>
      </x:c>
      <x:c r="G6" s="4" t="str">
        <x:v>Fixed; retested with 0 blockchain transactions</x:v>
      </x:c>
    </x:row>
    <x:row r="7">
      <x:c r="A7" s="4" t="str">
        <x:v>ISS-006</x:v>
      </x:c>
      <x:c r="B7" s="4" t="str">
        <x:v>ANT-006</x:v>
      </x:c>
      <x:c r="C7" s="4" t="str">
        <x:v>Incorrect food metric</x:v>
      </x:c>
      <x:c r="D7" s="4" t="str">
        <x:v>Food collection was counted once at pickup and again at nest dropoff, causing final food_collected to exceed the initial food count.</x:v>
      </x:c>
      <x:c r="E7" s="4" t="str">
        <x:v>backend/simulation.py</x:v>
      </x:c>
      <x:c r="F7" s="4" t="str">
        <x:v>Verified by API result: 25 collected with 15 initial food</x:v>
      </x:c>
      <x:c r="G7" s="4" t="str">
        <x:v>Fixed; retested 15 collected with 15 initial food</x:v>
      </x:c>
    </x:row>
    <x:row r="8">
      <x:c r="A8" s="4" t="str">
        <x:v>ISS-007</x:v>
      </x:c>
      <x:c r="B8" s="4" t="str">
        <x:v>ANT-007</x:v>
      </x:c>
      <x:c r="C8" s="4" t="str">
        <x:v>Timeline labeling and scrub control</x:v>
      </x:c>
      <x:c r="D8" s="4" t="str">
        <x:v>Ant simulation used zero-based currentStep in visible counters and rendered progress as a non-interactive bar.</x:v>
      </x:c>
      <x:c r="E8" s="4" t="str">
        <x:v>frontend/src/components/SimulationControls.tsx; frontend/src/pages/Index.tsx</x:v>
      </x:c>
      <x:c r="F8" s="4" t="str">
        <x:v>Verified in browser: Step card showed 0 / 13 while title showed Step 1 of 13</x:v>
      </x:c>
      <x:c r="G8" s="4" t="str">
        <x:v>Fixed; retested slider click moves to Step 7 of 13</x:v>
      </x:c>
    </x:row>
    <x:row r="9">
      <x:c r="A9" s="4" t="str">
        <x:v>ISS-008</x:v>
      </x:c>
      <x:c r="B9" s="4" t="str">
        <x:v>ANT-006</x:v>
      </x:c>
      <x:c r="C9" s="4" t="str">
        <x:v>Misleading Rule-Based console warning</x:v>
      </x:c>
      <x:c r="D9" s="4" t="str">
        <x:v>Rule-Based runs emitted IO_SECRET_KEY missing warnings even though no LLM client was needed.</x:v>
      </x:c>
      <x:c r="E9" s="4" t="str">
        <x:v>backend/simulation.py; frontend/src/pages/Index.tsx</x:v>
      </x:c>
      <x:c r="F9" s="4" t="str">
        <x:v>Verified by browser console/backend logs</x:v>
      </x:c>
      <x:c r="G9" s="4" t="str">
        <x:v>Fixed; fresh browser retest has 0 warnings</x:v>
      </x:c>
    </x:row>
    <x:row r="10">
      <x:c r="A10" s="4" t="str">
        <x:v>ISS-009</x:v>
      </x:c>
      <x:c r="B10" s="4" t="str">
        <x:v>TUMOR-005</x:v>
      </x:c>
      <x:c r="C10" s="4" t="str">
        <x:v>Session storage quota failure</x:v>
      </x:c>
      <x:c r="D10" s="4" t="str">
        <x:v>Tumor simulation wrote the full result payload to sessionStorage inside the API success path; QuotaExceededError was caught as a failed simulation.</x:v>
      </x:c>
      <x:c r="E10" s="4" t="str">
        <x:v>frontend/src/pages/TumorSimulation.tsx</x:v>
      </x:c>
      <x:c r="F10" s="4" t="str">
        <x:v>Verified in browser console after successful tumor run</x:v>
      </x:c>
      <x:c r="G10" s="4" t="str">
        <x:v>Fixed; storage is best-effort and retest has 0 warnings/errors</x:v>
      </x:c>
    </x:row>
    <x:row r="11">
      <x:c r="A11" s="4" t="str">
        <x:v>ISS-010</x:v>
      </x:c>
      <x:c r="B11" s="4" t="str">
        <x:v>COMP-002</x:v>
      </x:c>
      <x:c r="C11" s="4" t="str">
        <x:v>Slow comparison execution</x:v>
      </x:c>
      <x:c r="D11" s="4" t="str">
        <x:v>Comparison Lab sent blockchain_enabled=true for every /simulation/run request, causing local Rule-Based batches to wait on real transaction logging.</x:v>
      </x:c>
      <x:c r="E11" s="4" t="str">
        <x:v>frontend/src/pages/SimulationComparison.tsx; backend logs</x:v>
      </x:c>
      <x:c r="F11" s="4" t="str">
        <x:v>Verified by backend log: blockchain_enabled true and multi-second food transaction writes</x:v>
      </x:c>
      <x:c r="G11" s="4" t="str">
        <x:v>Fixed; retested one-run batch with 0 blockchain transactions</x:v>
      </x:c>
    </x:row>
    <x:row r="12">
      <x:c r="A12" s="4" t="str">
        <x:v>ISS-011</x:v>
      </x:c>
      <x:c r="B12" s="4" t="str">
        <x:v>COMP-001</x:v>
      </x:c>
      <x:c r="C12" s="4" t="str">
        <x:v>Incomplete run guard</x:v>
      </x:c>
      <x:c r="D12" s="4" t="str">
        <x:v>Start Comparison only checked foodCounts and antCounts, so an empty agentTypes selection could produce a zero-run batch.</x:v>
      </x:c>
      <x:c r="E12" s="4" t="str">
        <x:v>frontend/src/pages/SimulationComparison.tsx</x:v>
      </x:c>
      <x:c r="F12" s="4" t="str">
        <x:v>Verified in browser after deselecting all agent types</x:v>
      </x:c>
      <x:c r="G12" s="4" t="str">
        <x:v>Fixed; retested Start disabled when agentTypes is empty</x:v>
      </x:c>
    </x:row>
    <x:row r="13">
      <x:c r="A13" s="4" t="str">
        <x:v>ISS-012</x:v>
      </x:c>
      <x:c r="B13" s="4" t="str">
        <x:v>APP-002</x:v>
      </x:c>
      <x:c r="C13" s="4" t="str">
        <x:v>404 console noise</x:v>
      </x:c>
      <x:c r="D13" s="4" t="str">
        <x:v>NotFound logged normal missing-route fallback navigation as console.error, polluting browser error checks.</x:v>
      </x:c>
      <x:c r="E13" s="4" t="str">
        <x:v>frontend/src/pages/NotFound.tsx</x:v>
      </x:c>
      <x:c r="F13" s="4" t="str">
        <x:v>Verified in browser console on /definitely-missing-route</x:v>
      </x:c>
      <x:c r="G13" s="4" t="str">
        <x:v>Fixed; retested 404 with 0 console warnings/errors</x:v>
      </x:c>
    </x:row>
    <x:row r="14">
      <x:c r="A14" s="4" t="str">
        <x:v>ISS-013</x:v>
      </x:c>
      <x:c r="B14" s="4" t="str">
        <x:v>HUNT-001</x:v>
      </x:c>
      <x:c r="C14" s="4" t="str">
        <x:v>Misleading mode copy</x:v>
      </x:c>
      <x:c r="D14" s="4" t="str">
        <x:v>Tumor Hunt header described LLM-brained nanobots even when the default selected agent type was Rule-Based.</x:v>
      </x:c>
      <x:c r="E14" s="4" t="str">
        <x:v>frontend/src/pages/TumorHunt.tsx</x:v>
      </x:c>
      <x:c r="F14" s="4" t="str">
        <x:v>Verified in browser before fix</x:v>
      </x:c>
      <x:c r="G14" s="4" t="str">
        <x:v>Fixed; retested copy now says Nanobot swarms</x:v>
      </x:c>
    </x:row>
    <x:row r="15">
      <x:c r="A15" s="4" t="str">
        <x:v>ISS-014</x:v>
      </x:c>
      <x:c r="B15" s="4" t="str">
        <x:v>ANT-004; ANT-008; ANT-010</x:v>
      </x:c>
      <x:c r="C15" s="4" t="str">
        <x:v>Misleading Ant UI copy/state</x:v>
      </x:c>
      <x:c r="D15" s="4" t="str">
        <x:v>Ant predator helper text and performance chart copy implied LLM behavior during a Rule-Based run, and the pheromone overlay button did not expose the active Hide/Show state.</x:v>
      </x:c>
      <x:c r="E15" s="4" t="str">
        <x:v>frontend/src/components/SimulationSidebar.tsx; frontend/src/components/PerformanceCharts.tsx; frontend/src/pages/Index.tsx</x:v>
      </x:c>
      <x:c r="F15" s="4" t="str">
        <x:v>Verified in browser after predator-enabled Rule-Based run</x:v>
      </x:c>
      <x:c r="G15" s="4" t="str">
        <x:v>Fixed; retested copy and toggle label</x:v>
      </x:c>
    </x:row>
    <x:row r="16">
      <x:c r="A16" s="4" t="str">
        <x:v>ISS-015</x:v>
      </x:c>
      <x:c r="B16" s="4" t="str">
        <x:v>ANT-001</x:v>
      </x:c>
      <x:c r="C16" s="4" t="str">
        <x:v>Keyboard shortcut collision</x:v>
      </x:c>
      <x:c r="D16" s="4" t="str">
        <x:v>Global playback ArrowRight handled key events from a focused Radix slider, so changing a sidebar slider also advanced simulation playback.</x:v>
      </x:c>
      <x:c r="E16" s="4" t="str">
        <x:v>frontend/src/pages/Index.tsx</x:v>
      </x:c>
      <x:c r="F16" s="4" t="str">
        <x:v>Verified in browser: width changed 15-&gt;16 and step advanced 1/18-&gt;2/18 before fix</x:v>
      </x:c>
      <x:c r="G16" s="4" t="str">
        <x:v>Fixed; retested width changed 16-&gt;17 while step stayed 2/18</x:v>
      </x:c>
    </x:row>
    <x:row r="17">
      <x:c r="A17" s="4" t="str">
        <x:v>ISS-016</x:v>
      </x:c>
      <x:c r="B17" s="4" t="str">
        <x:v>TUMOR-003</x:v>
      </x:c>
      <x:c r="C17" s="4" t="str">
        <x:v>Hidden stale Queen setting</x:v>
      </x:c>
      <x:c r="D17" s="4" t="str">
        <x:v>Disabling Tumor Queen hid the LLM Queen switch but preserved use_llm_queen=true in the submitted run config.</x:v>
      </x:c>
      <x:c r="E17" s="4" t="str">
        <x:v>frontend/src/components/TumorSimulationSidebar.tsx</x:v>
      </x:c>
      <x:c r="F17" s="4" t="str">
        <x:v>Verified in /simulation/tumor/run request body</x:v>
      </x:c>
      <x:c r="G17" s="4" t="str">
        <x:v>Fixed; retested request sends use_queen=false and use_llm_queen=false</x:v>
      </x:c>
    </x:row>
    <x:row r="18">
      <x:c r="A18" s="4" t="str">
        <x:v>ISS-017</x:v>
      </x:c>
      <x:c r="B18" s="4" t="str">
        <x:v>API-003</x:v>
      </x:c>
      <x:c r="C18" s="4" t="str">
        <x:v>Misleading tumor endpoint warning</x:v>
      </x:c>
      <x:c r="D18" s="4" t="str">
        <x:v>Rule-Based tumor model construction always initialized/logged LLM credential state, so /simulation/tumor/test returned IO_SECRET_KEY missing in errors despite no active LLM worker or queen.</x:v>
      </x:c>
      <x:c r="E18" s="4" t="str">
        <x:v>backend/nanobot_simulation.py</x:v>
      </x:c>
      <x:c r="F18" s="4" t="str">
        <x:v>Verified by failing regression test and live endpoint response</x:v>
      </x:c>
      <x:c r="G18" s="4" t="str">
        <x:v>Fixed; retested endpoint errors=[]</x:v>
      </x:c>
    </x:row>
    <x:row r="19">
      <x:c r="A19" s="4" t="str">
        <x:v>ISS-018</x:v>
      </x:c>
      <x:c r="B19" s="4" t="str">
        <x:v>API-005; CLI-001; CLI-002; CLI-003</x:v>
      </x:c>
      <x:c r="C19" s="4" t="str">
        <x:v>Documented entrypoints unavailable</x:v>
      </x:c>
      <x:c r="D19" s="4" t="str">
        <x:v>README and quickstart documented uv run antelligence and uv run antelligence-api, but pyproject disabled package installation so uv could not spawn the scripts.</x:v>
      </x:c>
      <x:c r="E19" s="4" t="str">
        <x:v>pyproject.toml; README.md; docs/QUICKSTART_TUMOR_SIM.md</x:v>
      </x:c>
      <x:c r="F19" s="4" t="str">
        <x:v>Verified by uv run antelligence --help failing with no such file</x:v>
      </x:c>
      <x:c r="G19" s="4" t="str">
        <x:v>Fixed; packaging enabled and uv run antelligence --help passes</x:v>
      </x:c>
    </x:row>
    <x:row r="20">
      <x:c r="A20" s="4" t="str">
        <x:v>ISS-019</x:v>
      </x:c>
      <x:c r="B20" s="4" t="str">
        <x:v>API-005; CLI-001; CLI-002</x:v>
      </x:c>
      <x:c r="C20" s="4" t="str">
        <x:v>Default basic runs used LLM mode</x:v>
      </x:c>
      <x:c r="D20" s="4" t="str">
        <x:v>Packaged API shared config and CLI direct model construction omitted agent_type, causing basic local simulate/benchmark/API runs to fall back to LLM-Powered mode.</x:v>
      </x:c>
      <x:c r="E20" s="4" t="str">
        <x:v>backend/config.py; backend/cli.py</x:v>
      </x:c>
      <x:c r="F20" s="4" t="str">
        <x:v>Verified by API/CLI stdout logs containing IO_SECRET_KEY missing</x:v>
      </x:c>
      <x:c r="G20" s="4" t="str">
        <x:v>Fixed; config and CLI pass agent_type=Rule-Based; real API/CLI retest has no missing-key warning</x:v>
      </x:c>
    </x:row>
  </x:sheetData>
  <x:pageMargins left="0.7" right="0.7" top="0.75" bottom="0.75" header="0.3" footer="0.3"/>
  <x:tableParts count="1">
    <x:tablePart xmlns:r="http://schemas.openxmlformats.org/officeDocument/2006/relationships" r:id="R4cbdca86e37645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44" hidden="0" customWidth="1"/>
    <x:col min="5" max="5" width="18" hidden="0" customWidth="1"/>
    <x:col min="6" max="6" width="16" hidden="0" customWidth="1"/>
    <x:col min="7" max="7" width="44" hidden="0" customWidth="1"/>
    <x:col min="8" max="8" width="44" hidden="0" customWidth="1"/>
  </x:cols>
  <x:sheetData>
    <x:row r="1">
      <x:c r="A1" s="10" t="str">
        <x:v>Run ID</x:v>
      </x:c>
      <x:c r="B1" s="10" t="str">
        <x:v>Date</x:v>
      </x:c>
      <x:c r="C1" s="10" t="str">
        <x:v>Scope</x:v>
      </x:c>
      <x:c r="D1" s="10" t="str">
        <x:v>Command or Browser Flow</x:v>
      </x:c>
      <x:c r="E1" s="10" t="str">
        <x:v>Result</x:v>
      </x:c>
      <x:c r="F1" s="10" t="str">
        <x:v>Errors Found</x:v>
      </x:c>
      <x:c r="G1" s="10" t="str">
        <x:v>Artifacts</x:v>
      </x:c>
      <x:c r="H1" s="10" t="str">
        <x:v>Notes</x:v>
      </x:c>
    </x:row>
    <x:row r="2">
      <x:c r="A2" s="4" t="str">
        <x:v>TR-001</x:v>
      </x:c>
      <x:c r="B2" s="4" t="str">
        <x:v>2026-06-22</x:v>
      </x:c>
      <x:c r="C2" s="4" t="str">
        <x:v>Initial inventory</x:v>
      </x:c>
      <x:c r="D2" s="4" t="str">
        <x:v>Code inspection only</x:v>
      </x:c>
      <x:c r="E2" s="4" t="str">
        <x:v>Complete</x:v>
      </x:c>
      <x:c r="F2" s="4" t="n">
        <x:v>3</x:v>
      </x:c>
      <x:c r="G2" s="4" t="str">
        <x:v>Feature Stories + Error Log</x:v>
      </x:c>
      <x:c r="H2" s="4" t="str">
        <x:v>Behavior testing starts after this workbook export.</x:v>
      </x:c>
    </x:row>
    <x:row r="3">
      <x:c r="A3" s="4" t="str">
        <x:v>TR-002</x:v>
      </x:c>
      <x:c r="B3" s="4" t="str">
        <x:v>2026-06-22</x:v>
      </x:c>
      <x:c r="C3" s="4" t="str">
        <x:v>Frontend production build</x:v>
      </x:c>
      <x:c r="D3" s="4" t="str">
        <x:v>npm --prefix frontend run build</x:v>
      </x:c>
      <x:c r="E3" s="4" t="str">
        <x:v>Pass</x:v>
      </x:c>
      <x:c r="F3" s="4" t="n">
        <x:v>0</x:v>
      </x:c>
      <x:c r="G3" s="4" t="str">
        <x:v>Terminal output</x:v>
      </x:c>
      <x:c r="H3" s="4" t="str">
        <x:v>Vite build succeeded; warning: bundle chunk exceeds 500 kB and Browserslist data is stale.</x:v>
      </x:c>
    </x:row>
    <x:row r="4">
      <x:c r="A4" s="4" t="str">
        <x:v>TR-003</x:v>
      </x:c>
      <x:c r="B4" s="4" t="str">
        <x:v>2026-06-22</x:v>
      </x:c>
      <x:c r="C4" s="4" t="str">
        <x:v>Frontend lint</x:v>
      </x:c>
      <x:c r="D4" s="4" t="str">
        <x:v>npm --prefix frontend run lint</x:v>
      </x:c>
      <x:c r="E4" s="4" t="str">
        <x:v>Pass with warnings</x:v>
      </x:c>
      <x:c r="F4" s="4" t="n">
        <x:v>1</x:v>
      </x:c>
      <x:c r="G4" s="4" t="str">
        <x:v>Terminal output</x:v>
      </x:c>
      <x:c r="H4" s="4" t="str">
        <x:v>0 errors, 9 warnings. Logged as ISS-004.</x:v>
      </x:c>
    </x:row>
    <x:row r="5">
      <x:c r="A5" s="4" t="str">
        <x:v>TR-004</x:v>
      </x:c>
      <x:c r="B5" s="4" t="str">
        <x:v>2026-06-22</x:v>
      </x:c>
      <x:c r="C5" s="4" t="str">
        <x:v>Backend import/start</x:v>
      </x:c>
      <x:c r="D5" s="4" t="str">
        <x:v>UV_CACHE_DIR=/private/tmp/uv-cache uv run python -c 'import backend.main; print("import ok")'; uvicorn backend.main:app</x:v>
      </x:c>
      <x:c r="E5" s="4" t="str">
        <x:v>Fail then pass</x:v>
      </x:c>
      <x:c r="F5" s="4" t="n">
        <x:v>1</x:v>
      </x:c>
      <x:c r="G5" s="4" t="str">
        <x:v>Terminal output</x:v>
      </x:c>
      <x:c r="H5" s="4" t="str">
        <x:v>Fixed litellm_client import order; health endpoint returns healthy.</x:v>
      </x:c>
    </x:row>
    <x:row r="6">
      <x:c r="A6" s="4" t="str">
        <x:v>TR-005</x:v>
      </x:c>
      <x:c r="B6" s="4" t="str">
        <x:v>2026-06-22</x:v>
      </x:c>
      <x:c r="C6" s="4" t="str">
        <x:v>CORS preflight</x:v>
      </x:c>
      <x:c r="D6" s="4" t="str">
        <x:v>OPTIONS /simulation/run from Origin http://127.0.0.1:8081</x:v>
      </x:c>
      <x:c r="E6" s="4" t="str">
        <x:v>Fail then pass</x:v>
      </x:c>
      <x:c r="F6" s="4" t="n">
        <x:v>1</x:v>
      </x:c>
      <x:c r="G6" s="4" t="str">
        <x:v>curl output</x:v>
      </x:c>
      <x:c r="H6" s="4" t="str">
        <x:v>Fixed 8081 localhost and 127.0.0.1 origins.</x:v>
      </x:c>
    </x:row>
    <x:row r="7">
      <x:c r="A7" s="4" t="str">
        <x:v>TR-006</x:v>
      </x:c>
      <x:c r="B7" s="4" t="str">
        <x:v>2026-06-22</x:v>
      </x:c>
      <x:c r="C7" s="4" t="str">
        <x:v>Ant Colony entry + history</x:v>
      </x:c>
      <x:c r="D7" s="4" t="str">
        <x:v>Browser: enter Ant Colony; observe HistoricalPerformance</x:v>
      </x:c>
      <x:c r="E7" s="4" t="str">
        <x:v>Fail then pass</x:v>
      </x:c>
      <x:c r="F7" s="4" t="n">
        <x:v>1</x:v>
      </x:c>
      <x:c r="G7" s="4" t="str">
        <x:v>Playwright console/snapshot</x:v>
      </x:c>
      <x:c r="H7" s="4" t="str">
        <x:v>Fixed stats.map crash by restoring synchronous localStorage history helpers.</x:v>
      </x:c>
    </x:row>
    <x:row r="8">
      <x:c r="A8" s="4" t="str">
        <x:v>TR-007</x:v>
      </x:c>
      <x:c r="B8" s="4" t="str">
        <x:v>2026-06-22</x:v>
      </x:c>
      <x:c r="C8" s="4" t="str">
        <x:v>Ant simulation API fast path</x:v>
      </x:c>
      <x:c r="D8" s="4" t="str">
        <x:v>POST /simulation/run Rule-Based blockchain_enabled=false</x:v>
      </x:c>
      <x:c r="E8" s="4" t="str">
        <x:v>Fail then pass</x:v>
      </x:c>
      <x:c r="F8" s="4" t="n">
        <x:v>2</x:v>
      </x:c>
      <x:c r="G8" s="4" t="str">
        <x:v>curl output</x:v>
      </x:c>
      <x:c r="H8" s="4" t="str">
        <x:v>Fixed blockchain opt-in and food double-counting; returns 13 steps, 15/15 food, 0 transactions.</x:v>
      </x:c>
    </x:row>
    <x:row r="9">
      <x:c r="A9" s="4" t="str">
        <x:v>TR-008</x:v>
      </x:c>
      <x:c r="B9" s="4" t="str">
        <x:v>2026-06-22</x:v>
      </x:c>
      <x:c r="C9" s="4" t="str">
        <x:v>Ant Colony browser happy path</x:v>
      </x:c>
      <x:c r="D9" s="4" t="str">
        <x:v>Browser: Ant Colony -&gt; Agent Configuration -&gt; Rule-Based -&gt; Run Simulation</x:v>
      </x:c>
      <x:c r="E9" s="4" t="str">
        <x:v>Pass</x:v>
      </x:c>
      <x:c r="F9" s="4" t="n">
        <x:v>0</x:v>
      </x:c>
      <x:c r="G9" s="4" t="str">
        <x:v>Playwright eval/console</x:v>
      </x:c>
      <x:c r="H9" s="4" t="str">
        <x:v>Fresh retest: 0 console warnings/errors, history saved 15 food over 13 steps, blockchain inactive.</x:v>
      </x:c>
    </x:row>
    <x:row r="10">
      <x:c r="A10" s="4" t="str">
        <x:v>TR-009</x:v>
      </x:c>
      <x:c r="B10" s="4" t="str">
        <x:v>2026-06-22</x:v>
      </x:c>
      <x:c r="C10" s="4" t="str">
        <x:v>Ant timeline scrubber</x:v>
      </x:c>
      <x:c r="D10" s="4" t="str">
        <x:v>Browser: click ant simulation timeline slider after run</x:v>
      </x:c>
      <x:c r="E10" s="4" t="str">
        <x:v>Fail then pass</x:v>
      </x:c>
      <x:c r="F10" s="4" t="n">
        <x:v>1</x:v>
      </x:c>
      <x:c r="G10" s="4" t="str">
        <x:v>Playwright eval</x:v>
      </x:c>
      <x:c r="H10" s="4" t="str">
        <x:v>Slider moves from Step 1 of 13 to Step 7 of 13 and all visible counters align.</x:v>
      </x:c>
    </x:row>
    <x:row r="11">
      <x:c r="A11" s="4" t="str">
        <x:v>TR-010</x:v>
      </x:c>
      <x:c r="B11" s="4" t="str">
        <x:v>2026-06-22</x:v>
      </x:c>
      <x:c r="C11" s="4" t="str">
        <x:v>Tumor simulation browser run</x:v>
      </x:c>
      <x:c r="D11" s="4" t="str">
        <x:v>Browser: /tumor -&gt; Rule-Based -&gt; disable LLM queen -&gt; Run Simulation</x:v>
      </x:c>
      <x:c r="E11" s="4" t="str">
        <x:v>Fail then pass</x:v>
      </x:c>
      <x:c r="F11" s="4" t="n">
        <x:v>1</x:v>
      </x:c>
      <x:c r="G11" s="4" t="str">
        <x:v>Playwright console/eval</x:v>
      </x:c>
      <x:c r="H11" s="4" t="str">
        <x:v>Fixed sessionStorage quota handling; tumor result loads with no console warnings/errors.</x:v>
      </x:c>
    </x:row>
    <x:row r="12">
      <x:c r="A12" s="4" t="str">
        <x:v>TR-011</x:v>
      </x:c>
      <x:c r="B12" s="4" t="str">
        <x:v>2026-06-22</x:v>
      </x:c>
      <x:c r="C12" s="4" t="str">
        <x:v>Tumor timeline scrubber</x:v>
      </x:c>
      <x:c r="D12" s="4" t="str">
        <x:v>Browser: click tumor timeline slider after run</x:v>
      </x:c>
      <x:c r="E12" s="4" t="str">
        <x:v>Fail then pass</x:v>
      </x:c>
      <x:c r="F12" s="4" t="n">
        <x:v>1</x:v>
      </x:c>
      <x:c r="G12" s="4" t="str">
        <x:v>Playwright eval</x:v>
      </x:c>
      <x:c r="H12" s="4" t="str">
        <x:v>Slider moves from Step 1/200 to Step 101/200 and persists tumorSimulationStep=100.</x:v>
      </x:c>
    </x:row>
    <x:row r="13">
      <x:c r="A13" s="4" t="str">
        <x:v>TR-012</x:v>
      </x:c>
      <x:c r="B13" s="4" t="str">
        <x:v>2026-06-22</x:v>
      </x:c>
      <x:c r="C13" s="4" t="str">
        <x:v>Intro navigation</x:v>
      </x:c>
      <x:c r="D13" s="4" t="str">
        <x:v>Browser: / -&gt; inspect buttons; press Enter; click Tumor; click Tumor Hunt</x:v>
      </x:c>
      <x:c r="E13" s="4" t="str">
        <x:v>Pass</x:v>
      </x:c>
      <x:c r="F13" s="4" t="n">
        <x:v>0</x:v>
      </x:c>
      <x:c r="G13" s="4" t="str">
        <x:v>Playwright console/eval</x:v>
      </x:c>
      <x:c r="H13" s="4" t="str">
        <x:v>Intro has three entry buttons; Enter opens Ant Colony; Tumor routes to /tumor; Hunt routes to /tumor-hunt.</x:v>
      </x:c>
    </x:row>
    <x:row r="14">
      <x:c r="A14" s="4" t="str">
        <x:v>TR-013</x:v>
      </x:c>
      <x:c r="B14" s="4" t="str">
        <x:v>2026-06-22</x:v>
      </x:c>
      <x:c r="C14" s="4" t="str">
        <x:v>Comparison guard and fast path</x:v>
      </x:c>
      <x:c r="D14" s="4" t="str">
        <x:v>Browser: /comparison -&gt; no agent guard -&gt; one Rule-Based batch</x:v>
      </x:c>
      <x:c r="E14" s="4" t="str">
        <x:v>Fail then pass</x:v>
      </x:c>
      <x:c r="F14" s="4" t="n">
        <x:v>3</x:v>
      </x:c>
      <x:c r="G14" s="4" t="str">
        <x:v>Playwright eval/backend logs</x:v>
      </x:c>
      <x:c r="H14" s="4" t="str">
        <x:v>Fixed empty-agent guard, config mutation during run, and blockchain_enabled=true slow path; one-run retest produced 10 food, 19 steps, 0ms latency.</x:v>
      </x:c>
    </x:row>
    <x:row r="15">
      <x:c r="A15" s="4" t="str">
        <x:v>TR-014</x:v>
      </x:c>
      <x:c r="B15" s="4" t="str">
        <x:v>2026-06-22</x:v>
      </x:c>
      <x:c r="C15" s="4" t="str">
        <x:v>Comparison CSV export</x:v>
      </x:c>
      <x:c r="D15" s="4" t="str">
        <x:v>Browser: intercept Export CSV generated blob</x:v>
      </x:c>
      <x:c r="E15" s="4" t="str">
        <x:v>Pass</x:v>
      </x:c>
      <x:c r="F15" s="4" t="n">
        <x:v>0</x:v>
      </x:c>
      <x:c r="G15" s="4" t="str">
        <x:v>Playwright eval</x:v>
      </x:c>
      <x:c r="H15" s="4" t="str">
        <x:v>Export generated simulation-comparison timestamped CSV with expected 10F-5A-Rule-Based row.</x:v>
      </x:c>
    </x:row>
    <x:row r="16">
      <x:c r="A16" s="4" t="str">
        <x:v>TR-015</x:v>
      </x:c>
      <x:c r="B16" s="4" t="str">
        <x:v>2026-06-22</x:v>
      </x:c>
      <x:c r="C16" s="4" t="str">
        <x:v>404 fallback</x:v>
      </x:c>
      <x:c r="D16" s="4" t="str">
        <x:v>Browser: /definitely-missing-route</x:v>
      </x:c>
      <x:c r="E16" s="4" t="str">
        <x:v>Fail then pass</x:v>
      </x:c>
      <x:c r="F16" s="4" t="n">
        <x:v>1</x:v>
      </x:c>
      <x:c r="G16" s="4" t="str">
        <x:v>Playwright console/eval</x:v>
      </x:c>
      <x:c r="H16" s="4" t="str">
        <x:v>Fallback rendered 404 and home link; console error downgraded to debug and retested with 0 warnings/errors.</x:v>
      </x:c>
    </x:row>
    <x:row r="17">
      <x:c r="A17" s="4" t="str">
        <x:v>TR-016</x:v>
      </x:c>
      <x:c r="B17" s="4" t="str">
        <x:v>2026-06-22</x:v>
      </x:c>
      <x:c r="C17" s="4" t="str">
        <x:v>Tumor Hunt run and stats</x:v>
      </x:c>
      <x:c r="D17" s="4" t="str">
        <x:v>Browser: /tumor-hunt -&gt; Run Hunt</x:v>
      </x:c>
      <x:c r="E17" s="4" t="str">
        <x:v>Pass</x:v>
      </x:c>
      <x:c r="F17" s="4" t="n">
        <x:v>0</x:v>
      </x:c>
      <x:c r="G17" s="4" t="str">
        <x:v>Playwright console/eval/backend logs</x:v>
      </x:c>
      <x:c r="H17" s="4" t="str">
        <x:v>Default Rule-Based hunt completed 34/34 cells killed, showed wave notification/live stats, and had 0 console warnings/errors.</x:v>
      </x:c>
    </x:row>
    <x:row r="18">
      <x:c r="A18" s="4" t="str">
        <x:v>TR-017</x:v>
      </x:c>
      <x:c r="B18" s="4" t="str">
        <x:v>2026-06-22</x:v>
      </x:c>
      <x:c r="C18" s="4" t="str">
        <x:v>Tumor Hunt playback</x:v>
      </x:c>
      <x:c r="D18" s="4" t="str">
        <x:v>Browser: wait for final summary, click playback scrubber</x:v>
      </x:c>
      <x:c r="E18" s="4" t="str">
        <x:v>Pass</x:v>
      </x:c>
      <x:c r="F18" s="4" t="n">
        <x:v>0</x:v>
      </x:c>
      <x:c r="G18" s="4" t="str">
        <x:v>Playwright eval</x:v>
      </x:c>
      <x:c r="H18" s="4" t="str">
        <x:v>Autoplay reached 107/107 final summary; scrubber moved to 54/107 and paused.</x:v>
      </x:c>
    </x:row>
    <x:row r="19">
      <x:c r="A19" s="4" t="str">
        <x:v>TR-018</x:v>
      </x:c>
      <x:c r="B19" s="4" t="str">
        <x:v>2026-06-22</x:v>
      </x:c>
      <x:c r="C19" s="4" t="str">
        <x:v>Ant configuration and analysis cluster</x:v>
      </x:c>
      <x:c r="D19" s="4" t="str">
        <x:v>Browser: Rule-Based ants + heuristic queen + Rule-Based predators + blockchain off -&gt; /simulation/run</x:v>
      </x:c>
      <x:c r="E19" s="4" t="str">
        <x:v>Fail then pass</x:v>
      </x:c>
      <x:c r="F19" s="4" t="n">
        <x:v>3</x:v>
      </x:c>
      <x:c r="G19" s="4" t="str">
        <x:v>Playwright network/eval/console</x:v>
      </x:c>
      <x:c r="H19" s="4" t="str">
        <x:v>Run returned 18 steps, 15/15 food, 6 caught ants, 0 API calls, 0 blockchain transactions; fixed predator copy, chart copy, and pheromone toggle label.</x:v>
      </x:c>
    </x:row>
    <x:row r="20">
      <x:c r="A20" s="4" t="str">
        <x:v>TR-019</x:v>
      </x:c>
      <x:c r="B20" s="4" t="str">
        <x:v>2026-06-22</x:v>
      </x:c>
      <x:c r="C20" s="4" t="str">
        <x:v>Ant slider keyboard isolation</x:v>
      </x:c>
      <x:c r="D20" s="4" t="str">
        <x:v>Browser: focus Territory Width slider, press ArrowRight</x:v>
      </x:c>
      <x:c r="E20" s="4" t="str">
        <x:v>Fail then pass</x:v>
      </x:c>
      <x:c r="F20" s="4" t="n">
        <x:v>1</x:v>
      </x:c>
      <x:c r="G20" s="4" t="str">
        <x:v>Playwright keyboard/eval</x:v>
      </x:c>
      <x:c r="H20" s="4" t="str">
        <x:v>Before fix, ArrowRight changed slider and advanced playback; after fix, width changed 16-&gt;17 while step stayed 2/18.</x:v>
      </x:c>
    </x:row>
    <x:row r="21">
      <x:c r="A21" s="4" t="str">
        <x:v>TR-020</x:v>
      </x:c>
      <x:c r="B21" s="4" t="str">
        <x:v>2026-06-22</x:v>
      </x:c>
      <x:c r="C21" s="4" t="str">
        <x:v>Ant Queen comparison</x:v>
      </x:c>
      <x:c r="D21" s="4" t="str">
        <x:v>Browser: click Run Queen Comparison</x:v>
      </x:c>
      <x:c r="E21" s="4" t="str">
        <x:v>Pass</x:v>
      </x:c>
      <x:c r="F21" s="4" t="n">
        <x:v>0</x:v>
      </x:c>
      <x:c r="G21" s="4" t="str">
        <x:v>Playwright network/snapshot</x:v>
      </x:c>
      <x:c r="H21" s="4" t="str">
        <x:v>/simulation/compare returned 15 no-queen vs 15 with-queen; cards, chart, and analysis rendered with 0 console warnings/errors.</x:v>
      </x:c>
    </x:row>
    <x:row r="22">
      <x:c r="A22" s="4" t="str">
        <x:v>TR-021</x:v>
      </x:c>
      <x:c r="B22" s="4" t="str">
        <x:v>2026-06-22</x:v>
      </x:c>
      <x:c r="C22" s="4" t="str">
        <x:v>Preview mode guardrails</x:v>
      </x:c>
      <x:c r="D22" s="4" t="str">
        <x:v>Vite --mode preview on :8082; browser run attempts on Ant, Comparison, Tumor, Hunt</x:v>
      </x:c>
      <x:c r="E22" s="4" t="str">
        <x:v>Pass</x:v>
      </x:c>
      <x:c r="F22" s="4" t="n">
        <x:v>0</x:v>
      </x:c>
      <x:c r="G22" s="4" t="str">
        <x:v>Playwright network/eval/console; npm build:preview</x:v>
      </x:c>
      <x:c r="H22" s="4" t="str">
        <x:v>Preview banner and per-page checkpoints rendered; Ant/Comparison/Tumor/Hunt run buttons made no /simulation or :8001 requests; preview build passed.</x:v>
      </x:c>
    </x:row>
    <x:row r="23">
      <x:c r="A23" s="4" t="str">
        <x:v>TR-022</x:v>
      </x:c>
      <x:c r="B23" s="4" t="str">
        <x:v>2026-06-22</x:v>
      </x:c>
      <x:c r="C23" s="4" t="str">
        <x:v>Tumor setup and config payload</x:v>
      </x:c>
      <x:c r="D23" s="4" t="str">
        <x:v>Browser: expand tumor config, edit Domain Size, switch Rule-Based, disable Queen, run simulation</x:v>
      </x:c>
      <x:c r="E23" s="4" t="str">
        <x:v>Fail then pass</x:v>
      </x:c>
      <x:c r="F23" s="4" t="n">
        <x:v>1</x:v>
      </x:c>
      <x:c r="G23" s="4" t="str">
        <x:v>Playwright network/eval/console</x:v>
      </x:c>
      <x:c r="H23" s="4" t="str">
        <x:v>Found hidden use_llm_queen=true after Queen disabled; fixed sidebar state. Retest sent domain_size=650, Rule-Based, use_queen=false, use_llm_queen=false, max_steps=200.</x:v>
      </x:c>
    </x:row>
    <x:row r="24">
      <x:c r="A24" s="4" t="str">
        <x:v>TR-023</x:v>
      </x:c>
      <x:c r="B24" s="4" t="str">
        <x:v>2026-06-22</x:v>
      </x:c>
      <x:c r="C24" s="4" t="str">
        <x:v>Tumor visualization tabs and legend</x:v>
      </x:c>
      <x:c r="D24" s="4" t="str">
        <x:v>Browser: after tumor run click Detailed Mode and Chemokine tab</x:v>
      </x:c>
      <x:c r="E24" s="4" t="str">
        <x:v>Pass</x:v>
      </x:c>
      <x:c r="F24" s="4" t="n">
        <x:v>0</x:v>
      </x:c>
      <x:c r="G24" s="4" t="str">
        <x:v>Playwright eval/console</x:v>
      </x:c>
      <x:c r="H24" s="4" t="str">
        <x:v>Substrate labels Oxygen/Drug/IFN/TNF/Perforin/Chemokine rendered; Visualization Legend showed Nanobots, Tumor Cells, Blood Vessels, Hypoxic Regions; 0 warnings/errors.</x:v>
      </x:c>
    </x:row>
    <x:row r="25">
      <x:c r="A25" s="4" t="str">
        <x:v>TR-024</x:v>
      </x:c>
      <x:c r="B25" s="4" t="str">
        <x:v>2026-06-22</x:v>
      </x:c>
      <x:c r="C25" s="4" t="str">
        <x:v>Tumor backend endpoint cluster</x:v>
      </x:c>
      <x:c r="D25" s="4" t="str">
        <x:v>curl /simulation/tumor/test, /performance, /compare, /compare-ced with small Rule-Based configs</x:v>
      </x:c>
      <x:c r="E25" s="4" t="str">
        <x:v>Fail then pass</x:v>
      </x:c>
      <x:c r="F25" s="4" t="n">
        <x:v>1</x:v>
      </x:c>
      <x:c r="G25" s="4" t="str">
        <x:v>curl output; pytest regression</x:v>
      </x:c>
      <x:c r="H25" s="4" t="str">
        <x:v>Fixed tumor model LLM-client gate. Retest: /tumor/test status success, 10 steps, errors=[], performance/compare/CED returned kill metrics and substrate summaries.</x:v>
      </x:c>
    </x:row>
    <x:row r="26">
      <x:c r="A26" s="4" t="str">
        <x:v>TR-025</x:v>
      </x:c>
      <x:c r="B26" s="4" t="str">
        <x:v>2026-06-22</x:v>
      </x:c>
      <x:c r="C26" s="4" t="str">
        <x:v>Simulation cache/history endpoints</x:v>
      </x:c>
      <x:c r="D26" s="4" t="str">
        <x:v>curl POST /simulation/cache twice; GET /simulation/history; GET filtered history; GET /simulation/compare/{id1}/{id2}</x:v>
      </x:c>
      <x:c r="E26" s="4" t="str">
        <x:v>Pass</x:v>
      </x:c>
      <x:c r="F26" s="4" t="n">
        <x:v>0</x:v>
      </x:c>
      <x:c r="G26" s="4" t="str">
        <x:v>curl output; cache files</x:v>
      </x:c>
      <x:c r="H26" s="4" t="str">
        <x:v>Cached ant and tumor payloads; files existed; history contained new IDs; tumor filter returned only tumor rows; compare returned simulation1/simulation2 and numeric differences.</x:v>
      </x:c>
    </x:row>
    <x:row r="27">
      <x:c r="A27" s="4" t="str">
        <x:v>TR-026</x:v>
      </x:c>
      <x:c r="B27" s="4" t="str">
        <x:v>2026-06-22</x:v>
      </x:c>
      <x:c r="C27" s="4" t="str">
        <x:v>Packaged API entrypoint</x:v>
      </x:c>
      <x:c r="D27" s="4" t="str">
        <x:v>ANTELLIGENCE_RUN_DB=/private/tmp/... uv run antelligence-api; curl /health, /simulate, /runs/{run_id}</x:v>
      </x:c>
      <x:c r="E27" s="4" t="str">
        <x:v>Fail then pass</x:v>
      </x:c>
      <x:c r="F27" s="4" t="n">
        <x:v>2</x:v>
      </x:c>
      <x:c r="G27" s="4" t="str">
        <x:v>uv/curl/server output; pytest</x:v>
      </x:c>
      <x:c r="H27" s="4" t="str">
        <x:v>Fixed packaging and Rule-Based default. Retest: health ok/run_store_ready, simulate completed with kill_rate, /runs retrieved same ID, temp SQLite DB existed, no missing-key warning.</x:v>
      </x:c>
    </x:row>
    <x:row r="28">
      <x:c r="A28" s="4" t="str">
        <x:v>TR-027</x:v>
      </x:c>
      <x:c r="B28" s="4" t="str">
        <x:v>2026-06-22</x:v>
      </x:c>
      <x:c r="C28" s="4" t="str">
        <x:v>CLI advertised commands</x:v>
      </x:c>
      <x:c r="D28" s="4" t="str">
        <x:v>uv run antelligence --help; simulate; benchmark; leaderboard</x:v>
      </x:c>
      <x:c r="E28" s="4" t="str">
        <x:v>Fail then pass</x:v>
      </x:c>
      <x:c r="F28" s="4" t="n">
        <x:v>3</x:v>
      </x:c>
      <x:c r="G28" s="4" t="str">
        <x:v>uv output; JSON artifacts</x:v>
      </x:c>
      <x:c r="H28" s="4" t="str">
        <x:v>Fixed package entrypoint and CLI Rule-Based default. Retest: help described CLI, simulate JSON has config/metrics/errors=[], benchmark produced 2 results, leaderboard exited 0 with offline fallback, stdout had no IO_SECRET_KEY warning.</x:v>
      </x:c>
    </x:row>
    <x:row r="29">
      <x:c r="A29" s="4" t="str">
        <x:v>TR-028</x:v>
      </x:c>
      <x:c r="B29" s="4" t="str">
        <x:v>2026-06-22</x:v>
      </x:c>
      <x:c r="C29" s="4" t="str">
        <x:v>Backend/CLI regression suite</x:v>
      </x:c>
      <x:c r="D29" s="4" t="str">
        <x:v>UV_CACHE_DIR=/private/tmp/uv-cache uv run --extra test pytest tests/test_cli.py tests/test_config.py tests/test_api_server.py tests/test_nanobot.py -q</x:v>
      </x:c>
      <x:c r="E29" s="4" t="str">
        <x:v>Pass</x:v>
      </x:c>
      <x:c r="F29" s="4" t="n">
        <x:v>0</x:v>
      </x:c>
      <x:c r="G29" s="4" t="str">
        <x:v>pytest output</x:v>
      </x:c>
      <x:c r="H29" s="4" t="str">
        <x:v>67 passed after packaging, Rule-Based default, and tumor LLM-client gate fixes.</x:v>
      </x:c>
    </x:row>
  </x:sheetData>
  <x:pageMargins left="0.7" right="0.7" top="0.75" bottom="0.75" header="0.3" footer="0.3"/>
  <x:tableParts count="1">
    <x:tablePart xmlns:r="http://schemas.openxmlformats.org/officeDocument/2006/relationships" r:id="R3cbedbf4c3c04a7f"/>
  </x:tableParts>
</x:worksheet>
</file>